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430"/>
  <workbookPr/>
  <mc:AlternateContent xmlns:mc="http://schemas.openxmlformats.org/markup-compatibility/2006">
    <mc:Choice Requires="x15">
      <x15ac:absPath xmlns:x15ac="http://schemas.microsoft.com/office/spreadsheetml/2010/11/ac" url="D:\Course\CS_764\project\NeurIPS2025-LEAR-main\csi764_project\"/>
    </mc:Choice>
  </mc:AlternateContent>
  <xr:revisionPtr revIDLastSave="0" documentId="13_ncr:1_{62AEFBEA-7190-478C-AAA8-8FD7EF2EF2ED}" xr6:coauthVersionLast="47" xr6:coauthVersionMax="47" xr10:uidLastSave="{00000000-0000-0000-0000-000000000000}"/>
  <bookViews>
    <workbookView xWindow="-120" yWindow="-120" windowWidth="38640" windowHeight="2112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X254" i="1" l="1"/>
  <c r="N254" i="1"/>
  <c r="X253" i="1"/>
  <c r="N253" i="1"/>
  <c r="X252" i="1"/>
  <c r="N252" i="1"/>
  <c r="N238" i="1"/>
  <c r="N237" i="1"/>
  <c r="N236" i="1"/>
  <c r="X221" i="1"/>
  <c r="N221" i="1"/>
  <c r="X220" i="1"/>
  <c r="N220" i="1"/>
  <c r="X219" i="1"/>
  <c r="N219" i="1"/>
  <c r="D361" i="1"/>
  <c r="D313" i="1"/>
  <c r="D362" i="1"/>
  <c r="D360" i="1"/>
  <c r="D346" i="1"/>
  <c r="D345" i="1"/>
  <c r="D344" i="1"/>
  <c r="D331" i="1"/>
  <c r="D330" i="1"/>
  <c r="D329" i="1"/>
  <c r="D315" i="1"/>
  <c r="D314" i="1"/>
  <c r="D299" i="1"/>
  <c r="D298" i="1"/>
  <c r="D297" i="1"/>
  <c r="D280" i="1"/>
  <c r="D279" i="1"/>
  <c r="D278" i="1"/>
  <c r="D254" i="1"/>
  <c r="D253" i="1"/>
  <c r="D252" i="1"/>
  <c r="D238" i="1"/>
  <c r="D237" i="1"/>
  <c r="D236" i="1"/>
  <c r="D221" i="1"/>
  <c r="D220" i="1"/>
  <c r="D219" i="1"/>
  <c r="D180" i="1"/>
  <c r="D195" i="1"/>
  <c r="D196" i="1"/>
  <c r="D194" i="1"/>
  <c r="D181" i="1"/>
  <c r="D179" i="1"/>
  <c r="D166" i="1"/>
  <c r="D165" i="1"/>
  <c r="D164" i="1"/>
  <c r="D151" i="1"/>
  <c r="D150" i="1"/>
  <c r="D149" i="1"/>
  <c r="D135" i="1"/>
  <c r="D134" i="1"/>
  <c r="D133" i="1"/>
  <c r="D119" i="1"/>
  <c r="D118" i="1"/>
  <c r="D117" i="1"/>
  <c r="D98" i="1"/>
  <c r="D97" i="1"/>
  <c r="D96" i="1"/>
  <c r="D82" i="1"/>
  <c r="D81" i="1"/>
  <c r="D80" i="1"/>
  <c r="D67" i="1"/>
  <c r="D66" i="1"/>
  <c r="D65" i="1"/>
  <c r="D51" i="1"/>
  <c r="D50" i="1"/>
  <c r="D49" i="1"/>
  <c r="D33" i="1"/>
  <c r="D35" i="1"/>
  <c r="D34" i="1"/>
  <c r="D16" i="1"/>
  <c r="D15" i="1"/>
  <c r="D14" i="1"/>
</calcChain>
</file>

<file path=xl/sharedStrings.xml><?xml version="1.0" encoding="utf-8"?>
<sst xmlns="http://schemas.openxmlformats.org/spreadsheetml/2006/main" count="506" uniqueCount="45">
  <si>
    <t>After Task</t>
    <phoneticPr fontId="1" type="noConversion"/>
  </si>
  <si>
    <t>Task 1</t>
    <phoneticPr fontId="1" type="noConversion"/>
  </si>
  <si>
    <t>Task 2</t>
  </si>
  <si>
    <t>Task 3</t>
  </si>
  <si>
    <t>Task 4</t>
  </si>
  <si>
    <t>Task 5</t>
  </si>
  <si>
    <t>Task 6</t>
  </si>
  <si>
    <t>Task 7</t>
  </si>
  <si>
    <t>AP</t>
    <phoneticPr fontId="1" type="noConversion"/>
  </si>
  <si>
    <t>BWT</t>
    <phoneticPr fontId="1" type="noConversion"/>
  </si>
  <si>
    <t>FM</t>
    <phoneticPr fontId="1" type="noConversion"/>
  </si>
  <si>
    <t>t = 20 t_aware</t>
    <phoneticPr fontId="1" type="noConversion"/>
  </si>
  <si>
    <t>t = 25 t_aware</t>
    <phoneticPr fontId="1" type="noConversion"/>
  </si>
  <si>
    <t>t = 30 t_aware</t>
    <phoneticPr fontId="1" type="noConversion"/>
  </si>
  <si>
    <t>t = 35 t_aware</t>
    <phoneticPr fontId="1" type="noConversion"/>
  </si>
  <si>
    <t>t = 40 t_aware</t>
    <phoneticPr fontId="1" type="noConversion"/>
  </si>
  <si>
    <t>t = 45 t_aware</t>
    <phoneticPr fontId="1" type="noConversion"/>
  </si>
  <si>
    <t>t = 20 t_Agnostic</t>
    <phoneticPr fontId="1" type="noConversion"/>
  </si>
  <si>
    <t>t = 25 t_Agnostic</t>
    <phoneticPr fontId="1" type="noConversion"/>
  </si>
  <si>
    <t>t = 30 t_Agnostic</t>
    <phoneticPr fontId="1" type="noConversion"/>
  </si>
  <si>
    <t>t = 40 t_Agnostic</t>
    <phoneticPr fontId="1" type="noConversion"/>
  </si>
  <si>
    <t>t = 35 t_Agnostic</t>
    <phoneticPr fontId="1" type="noConversion"/>
  </si>
  <si>
    <t>t = 45 t_Agnostic</t>
    <phoneticPr fontId="1" type="noConversion"/>
  </si>
  <si>
    <t>Full Evaluation</t>
    <phoneticPr fontId="1" type="noConversion"/>
  </si>
  <si>
    <t>t = 33 t_Agnostic</t>
    <phoneticPr fontId="1" type="noConversion"/>
  </si>
  <si>
    <t>original</t>
    <phoneticPr fontId="1" type="noConversion"/>
  </si>
  <si>
    <t>t = 33 task aware</t>
    <phoneticPr fontId="1" type="noConversion"/>
  </si>
  <si>
    <t>t = 20 t_aware claude</t>
    <phoneticPr fontId="1" type="noConversion"/>
  </si>
  <si>
    <t>t = 25 t_aware claude</t>
    <phoneticPr fontId="1" type="noConversion"/>
  </si>
  <si>
    <t>t = 30 t_aware claude</t>
    <phoneticPr fontId="1" type="noConversion"/>
  </si>
  <si>
    <t>t = 35 t_aware claude</t>
    <phoneticPr fontId="1" type="noConversion"/>
  </si>
  <si>
    <t>t = 40 t_aware claude</t>
    <phoneticPr fontId="1" type="noConversion"/>
  </si>
  <si>
    <t>t = 45 t_aware claude</t>
    <phoneticPr fontId="1" type="noConversion"/>
  </si>
  <si>
    <t>[DEBUG] Task 7 -&gt; Expert 7
[DEBUG] Task-expert mapping: [1, 2, 3, 4, 5, 6, 7]
[DEBUG] Task-classifier mapping: [1, 2, 3, 4, 5, 6, 7]</t>
    <phoneticPr fontId="1" type="noConversion"/>
  </si>
  <si>
    <t>42.70833333333333]</t>
  </si>
  <si>
    <t>[DEBUG] Task 7 -&gt; Expert 2
[DEBUG] Task-expert mapping: [1, 1, 1, 2, 1, 2, 2]
[DEBUG] Task-classifier mapping: [1, 2, 3, 4, 5, 6, 7]</t>
    <phoneticPr fontId="1" type="noConversion"/>
  </si>
  <si>
    <t>[DEBUG] Task 7 -&gt; Expert 1
[DEBUG] Task-expert mapping: [1, 1, 1, 1, 1, 1, 1]
[DEBUG] Task-classifier mapping: [1, 2, 3, 4, 5, 6, 7]</t>
    <phoneticPr fontId="1" type="noConversion"/>
  </si>
  <si>
    <t>[DEBUG] Task 7 -&gt; Expert 2
[DEBUG] Task-expert mapping: [1, 1, 1, 2, 3, 4, 2]
[DEBUG] Task-classifier mapping: [1, 2, 3, 4, 5, 6, 7]</t>
    <phoneticPr fontId="1" type="noConversion"/>
  </si>
  <si>
    <t>[DEBUG] Task 7 -&gt; Expert 2
[DEBUG] Task-expert mapping: [1, 1, 1, 2, 3, 2, 2]
[DEBUG] Task-classifier mapping: [1, 2, 3, 4, 5, 6, 7]</t>
    <phoneticPr fontId="1" type="noConversion"/>
  </si>
  <si>
    <t>t = 33 t_Agnostic Claude version 1</t>
    <phoneticPr fontId="1" type="noConversion"/>
  </si>
  <si>
    <t>t = 33 t_Agnostic Claude version 2</t>
    <phoneticPr fontId="1" type="noConversion"/>
  </si>
  <si>
    <t xml:space="preserve">[DEBUG] Task 7 -&gt; Expert 2
[DEBUG] Task-expert mapping: [1, 1, 1, 2, 1, 3, 2]
[DEBUG] Task-classifier mapping: [1, 2, 3, 4, 5, 6, 7]		</t>
    <phoneticPr fontId="1" type="noConversion"/>
  </si>
  <si>
    <t>original Claude Version comparsion</t>
    <phoneticPr fontId="1" type="noConversion"/>
  </si>
  <si>
    <t>t = 33 task aware Claude 1</t>
    <phoneticPr fontId="1" type="noConversion"/>
  </si>
  <si>
    <t>t = 33 task aware Claude 2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</si>
</sst>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0" fillId="0" borderId="1" xfId="0" applyBorder="1"/>
    <xf numFmtId="0" fontId="0" fillId="0" borderId="2" xfId="0" applyBorder="1"/>
    <xf numFmtId="0" fontId="0" fillId="0" borderId="3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0" xfId="0" applyAlignment="1">
      <alignment horizontal="center" vertical="center" wrapText="1"/>
    </xf>
    <xf numFmtId="0" fontId="0" fillId="0" borderId="6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C3:AD362"/>
  <sheetViews>
    <sheetView tabSelected="1" topLeftCell="D207" zoomScaleNormal="100" workbookViewId="0">
      <selection activeCell="Z260" sqref="Z260"/>
    </sheetView>
  </sheetViews>
  <sheetFormatPr defaultRowHeight="14.25" x14ac:dyDescent="0.2"/>
  <cols>
    <col min="4" max="4" width="18.625" customWidth="1"/>
    <col min="5" max="5" width="19.125" customWidth="1"/>
    <col min="6" max="6" width="19.25" customWidth="1"/>
    <col min="7" max="7" width="20.375" customWidth="1"/>
    <col min="8" max="8" width="18.375" customWidth="1"/>
    <col min="9" max="10" width="16.75" customWidth="1"/>
  </cols>
  <sheetData>
    <row r="3" spans="3:10" ht="15" thickBot="1" x14ac:dyDescent="0.25"/>
    <row r="4" spans="3:10" ht="15" thickBot="1" x14ac:dyDescent="0.25">
      <c r="C4" s="3" t="s">
        <v>11</v>
      </c>
      <c r="D4" s="4"/>
      <c r="E4" s="4"/>
      <c r="F4" s="4"/>
      <c r="G4" s="4"/>
      <c r="H4" s="4"/>
      <c r="I4" s="4"/>
      <c r="J4" s="5"/>
    </row>
    <row r="5" spans="3:10" x14ac:dyDescent="0.2">
      <c r="C5" s="2" t="s">
        <v>0</v>
      </c>
      <c r="D5" s="2" t="s">
        <v>1</v>
      </c>
      <c r="E5" s="2" t="s">
        <v>2</v>
      </c>
      <c r="F5" s="2" t="s">
        <v>3</v>
      </c>
      <c r="G5" s="2" t="s">
        <v>4</v>
      </c>
      <c r="H5" s="2" t="s">
        <v>5</v>
      </c>
      <c r="I5" s="2" t="s">
        <v>6</v>
      </c>
      <c r="J5" s="2" t="s">
        <v>7</v>
      </c>
    </row>
    <row r="6" spans="3:10" x14ac:dyDescent="0.2">
      <c r="C6" s="1" t="s">
        <v>1</v>
      </c>
      <c r="D6" s="1">
        <v>94.7916666666666</v>
      </c>
      <c r="E6" s="1"/>
      <c r="F6" s="1"/>
      <c r="G6" s="1"/>
      <c r="H6" s="1"/>
      <c r="I6" s="1"/>
      <c r="J6" s="1"/>
    </row>
    <row r="7" spans="3:10" x14ac:dyDescent="0.2">
      <c r="C7" s="1" t="s">
        <v>2</v>
      </c>
      <c r="D7" s="1">
        <v>94.7916666666666</v>
      </c>
      <c r="E7" s="1">
        <v>78.125</v>
      </c>
      <c r="F7" s="1"/>
      <c r="G7" s="1"/>
      <c r="H7" s="1"/>
      <c r="I7" s="1"/>
      <c r="J7" s="1"/>
    </row>
    <row r="8" spans="3:10" x14ac:dyDescent="0.2">
      <c r="C8" s="1" t="s">
        <v>3</v>
      </c>
      <c r="D8" s="1">
        <v>93.75</v>
      </c>
      <c r="E8" s="1">
        <v>78.125</v>
      </c>
      <c r="F8" s="1">
        <v>95.8333333333333</v>
      </c>
      <c r="G8" s="1"/>
      <c r="H8" s="1"/>
      <c r="I8" s="1"/>
      <c r="J8" s="1"/>
    </row>
    <row r="9" spans="3:10" x14ac:dyDescent="0.2">
      <c r="C9" s="1" t="s">
        <v>4</v>
      </c>
      <c r="D9" s="1">
        <v>94.7916666666666</v>
      </c>
      <c r="E9" s="1">
        <v>77.0833333333333</v>
      </c>
      <c r="F9" s="1">
        <v>89.5833333333333</v>
      </c>
      <c r="G9" s="1">
        <v>54.166666666666401</v>
      </c>
      <c r="H9" s="1"/>
      <c r="I9" s="1"/>
      <c r="J9" s="1"/>
    </row>
    <row r="10" spans="3:10" x14ac:dyDescent="0.2">
      <c r="C10" s="1" t="s">
        <v>5</v>
      </c>
      <c r="D10" s="1">
        <v>91.6666666666666</v>
      </c>
      <c r="E10" s="1">
        <v>78.125</v>
      </c>
      <c r="F10" s="1">
        <v>88.5416666666666</v>
      </c>
      <c r="G10" s="1">
        <v>54.166666666666401</v>
      </c>
      <c r="H10" s="1">
        <v>81.25</v>
      </c>
      <c r="I10" s="1"/>
      <c r="J10" s="1"/>
    </row>
    <row r="11" spans="3:10" x14ac:dyDescent="0.2">
      <c r="C11" s="1" t="s">
        <v>6</v>
      </c>
      <c r="D11" s="1">
        <v>93.75</v>
      </c>
      <c r="E11" s="1">
        <v>79.1666666666666</v>
      </c>
      <c r="F11" s="1">
        <v>89.5833333333333</v>
      </c>
      <c r="G11" s="1">
        <v>53.125</v>
      </c>
      <c r="H11" s="1">
        <v>77.0833333333333</v>
      </c>
      <c r="I11" s="1">
        <v>71.875</v>
      </c>
      <c r="J11" s="1"/>
    </row>
    <row r="12" spans="3:10" x14ac:dyDescent="0.2">
      <c r="C12" s="1" t="s">
        <v>7</v>
      </c>
      <c r="D12" s="1">
        <v>93.75</v>
      </c>
      <c r="E12" s="1">
        <v>79.1666666666666</v>
      </c>
      <c r="F12" s="1">
        <v>89.5833333333333</v>
      </c>
      <c r="G12" s="1">
        <v>52.0833333333333</v>
      </c>
      <c r="H12" s="1">
        <v>80.2083333333333</v>
      </c>
      <c r="I12" s="1">
        <v>67.7083333333333</v>
      </c>
      <c r="J12" s="1">
        <v>47.9166666666666</v>
      </c>
    </row>
    <row r="14" spans="3:10" x14ac:dyDescent="0.2">
      <c r="C14" t="s">
        <v>8</v>
      </c>
      <c r="D14">
        <f>AVERAGE(D12:J12)</f>
        <v>72.916666666666629</v>
      </c>
    </row>
    <row r="15" spans="3:10" x14ac:dyDescent="0.2">
      <c r="C15" t="s">
        <v>9</v>
      </c>
      <c r="D15">
        <f>(SUM((D12-D6)+(E12-E7)+(F12-F8)+(G12-G9)+(H12-H10)+(I12-I11)))/6</f>
        <v>-2.2569444444444167</v>
      </c>
    </row>
    <row r="16" spans="3:10" x14ac:dyDescent="0.2">
      <c r="C16" t="s">
        <v>10</v>
      </c>
      <c r="D16">
        <f>SUM((MAX(D6:D12)-D12)+(MAX(E7:E12)-E12)+(MAX(F8:F12)-F12)+(MAX(G9:G12)-G12)+(MAX(H10:H12)-H12)+(MAX(I11:I12)-I12))/6</f>
        <v>2.4305555555555167</v>
      </c>
    </row>
    <row r="22" spans="3:10" ht="15" thickBot="1" x14ac:dyDescent="0.25"/>
    <row r="23" spans="3:10" ht="15" thickBot="1" x14ac:dyDescent="0.25">
      <c r="C23" s="3" t="s">
        <v>12</v>
      </c>
      <c r="D23" s="4"/>
      <c r="E23" s="4"/>
      <c r="F23" s="4"/>
      <c r="G23" s="4"/>
      <c r="H23" s="4"/>
      <c r="I23" s="4"/>
      <c r="J23" s="5"/>
    </row>
    <row r="24" spans="3:10" x14ac:dyDescent="0.2">
      <c r="C24" s="2" t="s">
        <v>0</v>
      </c>
      <c r="D24" s="2" t="s">
        <v>1</v>
      </c>
      <c r="E24" s="2" t="s">
        <v>2</v>
      </c>
      <c r="F24" s="2" t="s">
        <v>3</v>
      </c>
      <c r="G24" s="2" t="s">
        <v>4</v>
      </c>
      <c r="H24" s="2" t="s">
        <v>5</v>
      </c>
      <c r="I24" s="2" t="s">
        <v>6</v>
      </c>
      <c r="J24" s="2" t="s">
        <v>7</v>
      </c>
    </row>
    <row r="25" spans="3:10" x14ac:dyDescent="0.2">
      <c r="C25" s="1" t="s">
        <v>1</v>
      </c>
      <c r="D25" s="1">
        <v>91.6666666666666</v>
      </c>
      <c r="E25" s="1"/>
      <c r="F25" s="1"/>
      <c r="G25" s="1"/>
      <c r="H25" s="1"/>
      <c r="I25" s="1"/>
      <c r="J25" s="1"/>
    </row>
    <row r="26" spans="3:10" x14ac:dyDescent="0.2">
      <c r="C26" s="1" t="s">
        <v>2</v>
      </c>
      <c r="D26" s="1">
        <v>90.625</v>
      </c>
      <c r="E26" s="1">
        <v>85.4166666666666</v>
      </c>
      <c r="F26" s="1"/>
      <c r="G26" s="1"/>
      <c r="H26" s="1"/>
      <c r="I26" s="1"/>
      <c r="J26" s="1"/>
    </row>
    <row r="27" spans="3:10" x14ac:dyDescent="0.2">
      <c r="C27" s="1" t="s">
        <v>3</v>
      </c>
      <c r="D27" s="1">
        <v>90.625</v>
      </c>
      <c r="E27" s="1">
        <v>86.4583333333333</v>
      </c>
      <c r="F27" s="1">
        <v>65.625</v>
      </c>
      <c r="G27" s="1"/>
      <c r="H27" s="1"/>
      <c r="I27" s="1"/>
      <c r="J27" s="1"/>
    </row>
    <row r="28" spans="3:10" x14ac:dyDescent="0.2">
      <c r="C28" s="1" t="s">
        <v>4</v>
      </c>
      <c r="D28" s="1">
        <v>90.625</v>
      </c>
      <c r="E28" s="1">
        <v>86.4583333333333</v>
      </c>
      <c r="F28" s="1">
        <v>60.4166666666666</v>
      </c>
      <c r="G28" s="1">
        <v>55.2083333333333</v>
      </c>
      <c r="H28" s="1"/>
      <c r="I28" s="1"/>
      <c r="J28" s="1"/>
    </row>
    <row r="29" spans="3:10" x14ac:dyDescent="0.2">
      <c r="C29" s="1" t="s">
        <v>5</v>
      </c>
      <c r="D29" s="1">
        <v>91.6666666666666</v>
      </c>
      <c r="E29" s="1">
        <v>84.375</v>
      </c>
      <c r="F29" s="1">
        <v>65.625</v>
      </c>
      <c r="G29" s="1">
        <v>54.1666666666666</v>
      </c>
      <c r="H29" s="1">
        <v>82.2916666666666</v>
      </c>
      <c r="I29" s="1"/>
      <c r="J29" s="1"/>
    </row>
    <row r="30" spans="3:10" x14ac:dyDescent="0.2">
      <c r="C30" s="1" t="s">
        <v>6</v>
      </c>
      <c r="D30" s="1">
        <v>92.7083333333333</v>
      </c>
      <c r="E30" s="1">
        <v>85.4166666666666</v>
      </c>
      <c r="F30" s="1">
        <v>67.7083333333333</v>
      </c>
      <c r="G30" s="1">
        <v>51.0416666666666</v>
      </c>
      <c r="H30" s="1">
        <v>81.25</v>
      </c>
      <c r="I30" s="1">
        <v>80.2083333333333</v>
      </c>
      <c r="J30" s="1"/>
    </row>
    <row r="31" spans="3:10" x14ac:dyDescent="0.2">
      <c r="C31" s="1" t="s">
        <v>7</v>
      </c>
      <c r="D31" s="1">
        <v>89.5833333333333</v>
      </c>
      <c r="E31" s="1">
        <v>76.0416666666666</v>
      </c>
      <c r="F31" s="1">
        <v>57.2916666666666</v>
      </c>
      <c r="G31" s="1">
        <v>43.75</v>
      </c>
      <c r="H31" s="1">
        <v>77.0833333333333</v>
      </c>
      <c r="I31" s="1">
        <v>73.9583333333333</v>
      </c>
      <c r="J31" s="1">
        <v>45.8333333333333</v>
      </c>
    </row>
    <row r="33" spans="3:10" x14ac:dyDescent="0.2">
      <c r="C33" t="s">
        <v>8</v>
      </c>
      <c r="D33">
        <f>AVERAGE(D31:J31)</f>
        <v>66.220238095238059</v>
      </c>
    </row>
    <row r="34" spans="3:10" x14ac:dyDescent="0.2">
      <c r="C34" t="s">
        <v>9</v>
      </c>
      <c r="D34">
        <f>(SUM((D31-D25)+(E31-E26)+(F31-F27)+(G31-G28)+(H31-H29)+(I31-I30)))/6</f>
        <v>-7.11805555555555</v>
      </c>
    </row>
    <row r="35" spans="3:10" x14ac:dyDescent="0.2">
      <c r="C35" t="s">
        <v>10</v>
      </c>
      <c r="D35">
        <f>SUM((MAX(D25:D31)-D31)+(MAX(E26:E31)-E31)+(MAX(F27:F31)-F31)+(MAX(G28:G31)-G31)+(MAX(H29:H31)-H31)+(MAX(I30:I31)-I31))/6</f>
        <v>7.8125</v>
      </c>
    </row>
    <row r="38" spans="3:10" ht="15" thickBot="1" x14ac:dyDescent="0.25"/>
    <row r="39" spans="3:10" ht="15" thickBot="1" x14ac:dyDescent="0.25">
      <c r="C39" s="3" t="s">
        <v>13</v>
      </c>
      <c r="D39" s="4"/>
      <c r="E39" s="4"/>
      <c r="F39" s="4"/>
      <c r="G39" s="4"/>
      <c r="H39" s="4"/>
      <c r="I39" s="4"/>
      <c r="J39" s="5"/>
    </row>
    <row r="40" spans="3:10" x14ac:dyDescent="0.2">
      <c r="C40" s="2" t="s">
        <v>0</v>
      </c>
      <c r="D40" s="2" t="s">
        <v>1</v>
      </c>
      <c r="E40" s="2" t="s">
        <v>2</v>
      </c>
      <c r="F40" s="2" t="s">
        <v>3</v>
      </c>
      <c r="G40" s="2" t="s">
        <v>4</v>
      </c>
      <c r="H40" s="2" t="s">
        <v>5</v>
      </c>
      <c r="I40" s="2" t="s">
        <v>6</v>
      </c>
      <c r="J40" s="2" t="s">
        <v>7</v>
      </c>
    </row>
    <row r="41" spans="3:10" x14ac:dyDescent="0.2">
      <c r="C41" s="1" t="s">
        <v>1</v>
      </c>
      <c r="D41" s="1">
        <v>93.75</v>
      </c>
      <c r="E41" s="1"/>
      <c r="F41" s="1"/>
      <c r="G41" s="1"/>
      <c r="H41" s="1"/>
      <c r="I41" s="1"/>
      <c r="J41" s="1"/>
    </row>
    <row r="42" spans="3:10" x14ac:dyDescent="0.2">
      <c r="C42" s="1" t="s">
        <v>2</v>
      </c>
      <c r="D42" s="1">
        <v>92.7083333333333</v>
      </c>
      <c r="E42" s="1">
        <v>80.2083333333333</v>
      </c>
      <c r="F42" s="1"/>
      <c r="G42" s="1"/>
      <c r="H42" s="1"/>
      <c r="I42" s="1"/>
      <c r="J42" s="1"/>
    </row>
    <row r="43" spans="3:10" x14ac:dyDescent="0.2">
      <c r="C43" s="1" t="s">
        <v>3</v>
      </c>
      <c r="D43" s="1">
        <v>92.7083333333333</v>
      </c>
      <c r="E43" s="1">
        <v>79.1666666666666</v>
      </c>
      <c r="F43" s="1">
        <v>77.0833333333333</v>
      </c>
      <c r="G43" s="1"/>
      <c r="H43" s="1"/>
      <c r="I43" s="1"/>
      <c r="J43" s="1"/>
    </row>
    <row r="44" spans="3:10" x14ac:dyDescent="0.2">
      <c r="C44" s="1" t="s">
        <v>4</v>
      </c>
      <c r="D44" s="1">
        <v>93.75</v>
      </c>
      <c r="E44" s="1">
        <v>80.2083333333333</v>
      </c>
      <c r="F44" s="1">
        <v>77.0833333333333</v>
      </c>
      <c r="G44" s="1">
        <v>52.0833333333333</v>
      </c>
      <c r="H44" s="1"/>
      <c r="I44" s="1"/>
      <c r="J44" s="1"/>
    </row>
    <row r="45" spans="3:10" x14ac:dyDescent="0.2">
      <c r="C45" s="1" t="s">
        <v>5</v>
      </c>
      <c r="D45" s="1">
        <v>93.75</v>
      </c>
      <c r="E45" s="1">
        <v>81.25</v>
      </c>
      <c r="F45" s="1">
        <v>78.125</v>
      </c>
      <c r="G45" s="1">
        <v>54.1666666666666</v>
      </c>
      <c r="H45" s="1">
        <v>66.6666666666666</v>
      </c>
      <c r="I45" s="1"/>
      <c r="J45" s="1"/>
    </row>
    <row r="46" spans="3:10" x14ac:dyDescent="0.2">
      <c r="C46" s="1" t="s">
        <v>6</v>
      </c>
      <c r="D46" s="1">
        <v>92.7083333333333</v>
      </c>
      <c r="E46" s="1">
        <v>84.375</v>
      </c>
      <c r="F46" s="1">
        <v>77.0833333333333</v>
      </c>
      <c r="G46" s="1">
        <v>50</v>
      </c>
      <c r="H46" s="1">
        <v>57.2916666666666</v>
      </c>
      <c r="I46" s="1">
        <v>78.125</v>
      </c>
      <c r="J46" s="1"/>
    </row>
    <row r="47" spans="3:10" x14ac:dyDescent="0.2">
      <c r="C47" s="1" t="s">
        <v>7</v>
      </c>
      <c r="D47" s="1">
        <v>90.625</v>
      </c>
      <c r="E47" s="1">
        <v>76.0416666666666</v>
      </c>
      <c r="F47" s="1">
        <v>85.4166666666666</v>
      </c>
      <c r="G47" s="1">
        <v>51.0416666666666</v>
      </c>
      <c r="H47" s="1">
        <v>47.9166666666666</v>
      </c>
      <c r="I47" s="1">
        <v>70.8333333333333</v>
      </c>
      <c r="J47" s="1">
        <v>40.625</v>
      </c>
    </row>
    <row r="49" spans="3:10" x14ac:dyDescent="0.2">
      <c r="C49" t="s">
        <v>8</v>
      </c>
      <c r="D49">
        <f>AVERAGE(D47:J47)</f>
        <v>66.071428571428527</v>
      </c>
    </row>
    <row r="50" spans="3:10" x14ac:dyDescent="0.2">
      <c r="C50" t="s">
        <v>9</v>
      </c>
      <c r="D50">
        <f>(SUM((D47-D41)+(E47-E42)+(F47-F43)+(G47-G44)+(H47-H45)+(I47-I46)))/6</f>
        <v>-4.3402777777777999</v>
      </c>
    </row>
    <row r="51" spans="3:10" x14ac:dyDescent="0.2">
      <c r="C51" t="s">
        <v>10</v>
      </c>
      <c r="D51">
        <f>SUM((MAX(D41:D47)-D47)+(MAX(E42:E47)-E47)+(MAX(F43:F47)-F47)+(MAX(G44:G47)-G47)+(MAX(H45:H47)-H47)+(MAX(I46:I47)-I47))/6</f>
        <v>6.7708333333333499</v>
      </c>
    </row>
    <row r="54" spans="3:10" ht="15" thickBot="1" x14ac:dyDescent="0.25"/>
    <row r="55" spans="3:10" ht="15" thickBot="1" x14ac:dyDescent="0.25">
      <c r="C55" s="3" t="s">
        <v>14</v>
      </c>
      <c r="D55" s="4"/>
      <c r="E55" s="4"/>
      <c r="F55" s="4"/>
      <c r="G55" s="4"/>
      <c r="H55" s="4"/>
      <c r="I55" s="4"/>
      <c r="J55" s="5"/>
    </row>
    <row r="56" spans="3:10" x14ac:dyDescent="0.2">
      <c r="C56" s="2" t="s">
        <v>0</v>
      </c>
      <c r="D56" s="2" t="s">
        <v>1</v>
      </c>
      <c r="E56" s="2" t="s">
        <v>2</v>
      </c>
      <c r="F56" s="2" t="s">
        <v>3</v>
      </c>
      <c r="G56" s="2" t="s">
        <v>4</v>
      </c>
      <c r="H56" s="2" t="s">
        <v>5</v>
      </c>
      <c r="I56" s="2" t="s">
        <v>6</v>
      </c>
      <c r="J56" s="2" t="s">
        <v>7</v>
      </c>
    </row>
    <row r="57" spans="3:10" x14ac:dyDescent="0.2">
      <c r="C57" s="1" t="s">
        <v>1</v>
      </c>
      <c r="D57" s="1">
        <v>94.7916666666666</v>
      </c>
      <c r="E57" s="1"/>
      <c r="F57" s="1"/>
      <c r="G57" s="1"/>
      <c r="H57" s="1"/>
      <c r="I57" s="1"/>
      <c r="J57" s="1"/>
    </row>
    <row r="58" spans="3:10" x14ac:dyDescent="0.2">
      <c r="C58" s="1" t="s">
        <v>2</v>
      </c>
      <c r="D58" s="1">
        <v>92.7083333333333</v>
      </c>
      <c r="E58" s="1">
        <v>80.2083333333333</v>
      </c>
      <c r="F58" s="1"/>
      <c r="G58" s="1"/>
      <c r="H58" s="1"/>
      <c r="I58" s="1"/>
      <c r="J58" s="1"/>
    </row>
    <row r="59" spans="3:10" x14ac:dyDescent="0.2">
      <c r="C59" s="1" t="s">
        <v>3</v>
      </c>
      <c r="D59" s="1">
        <v>91.6666666666666</v>
      </c>
      <c r="E59" s="1">
        <v>77.0833333333333</v>
      </c>
      <c r="F59" s="1">
        <v>95.8333333333333</v>
      </c>
      <c r="G59" s="1"/>
      <c r="H59" s="1"/>
      <c r="I59" s="1"/>
      <c r="J59" s="1"/>
    </row>
    <row r="60" spans="3:10" x14ac:dyDescent="0.2">
      <c r="C60" s="1" t="s">
        <v>4</v>
      </c>
      <c r="D60" s="1">
        <v>91.6666666666666</v>
      </c>
      <c r="E60" s="1">
        <v>76.0416666666666</v>
      </c>
      <c r="F60" s="1">
        <v>96.875</v>
      </c>
      <c r="G60" s="1">
        <v>51.0416666666666</v>
      </c>
      <c r="H60" s="1"/>
      <c r="I60" s="1"/>
      <c r="J60" s="1"/>
    </row>
    <row r="61" spans="3:10" x14ac:dyDescent="0.2">
      <c r="C61" s="1" t="s">
        <v>5</v>
      </c>
      <c r="D61" s="1">
        <v>91.6666666666666</v>
      </c>
      <c r="E61" s="1">
        <v>78.125</v>
      </c>
      <c r="F61" s="1">
        <v>95.8333333333333</v>
      </c>
      <c r="G61" s="1">
        <v>48.9583333333333</v>
      </c>
      <c r="H61" s="1">
        <v>76.0416666666666</v>
      </c>
      <c r="I61" s="1"/>
      <c r="J61" s="1"/>
    </row>
    <row r="62" spans="3:10" x14ac:dyDescent="0.2">
      <c r="C62" s="1" t="s">
        <v>6</v>
      </c>
      <c r="D62" s="1">
        <v>91.6666666666666</v>
      </c>
      <c r="E62" s="1">
        <v>76.0416666666666</v>
      </c>
      <c r="F62" s="1">
        <v>96.875</v>
      </c>
      <c r="G62" s="1">
        <v>47.9166666666666</v>
      </c>
      <c r="H62" s="1">
        <v>73.9583333333333</v>
      </c>
      <c r="I62" s="1">
        <v>80.2083333333333</v>
      </c>
      <c r="J62" s="1"/>
    </row>
    <row r="63" spans="3:10" x14ac:dyDescent="0.2">
      <c r="C63" s="1" t="s">
        <v>7</v>
      </c>
      <c r="D63" s="1">
        <v>91.6666666666666</v>
      </c>
      <c r="E63" s="1">
        <v>76.0416666666666</v>
      </c>
      <c r="F63" s="1">
        <v>98.9583333333333</v>
      </c>
      <c r="G63" s="1">
        <v>50</v>
      </c>
      <c r="H63" s="1">
        <v>67.7083333333333</v>
      </c>
      <c r="I63" s="1">
        <v>80.2083333333333</v>
      </c>
      <c r="J63" s="1">
        <v>42.7083333333333</v>
      </c>
    </row>
    <row r="65" spans="3:10" x14ac:dyDescent="0.2">
      <c r="C65" t="s">
        <v>8</v>
      </c>
      <c r="D65">
        <f>AVERAGE(D63:J63)</f>
        <v>72.470238095238059</v>
      </c>
    </row>
    <row r="66" spans="3:10" x14ac:dyDescent="0.2">
      <c r="C66" t="s">
        <v>9</v>
      </c>
      <c r="D66">
        <f>(SUM((D63-D57)+(E63-E58)+(F63-F59)+(G63-G60)+(H63-H61)+(I63-I62)))/6</f>
        <v>-2.2569444444444335</v>
      </c>
    </row>
    <row r="67" spans="3:10" x14ac:dyDescent="0.2">
      <c r="C67" t="s">
        <v>10</v>
      </c>
      <c r="D67">
        <f>SUM((MAX(D57:D63)-D63)+(MAX(E58:E63)-E63)+(MAX(F59:F63)-F63)+(MAX(G60:G63)-G63)+(MAX(H61:H63)-H63)+(MAX(I62:I63)-I63))/6</f>
        <v>2.7777777777777666</v>
      </c>
    </row>
    <row r="69" spans="3:10" ht="15" thickBot="1" x14ac:dyDescent="0.25"/>
    <row r="70" spans="3:10" ht="15" thickBot="1" x14ac:dyDescent="0.25">
      <c r="C70" s="3" t="s">
        <v>15</v>
      </c>
      <c r="D70" s="4"/>
      <c r="E70" s="4"/>
      <c r="F70" s="4"/>
      <c r="G70" s="4"/>
      <c r="H70" s="4"/>
      <c r="I70" s="4"/>
      <c r="J70" s="5"/>
    </row>
    <row r="71" spans="3:10" x14ac:dyDescent="0.2">
      <c r="C71" s="2" t="s">
        <v>0</v>
      </c>
      <c r="D71" s="2" t="s">
        <v>1</v>
      </c>
      <c r="E71" s="2" t="s">
        <v>2</v>
      </c>
      <c r="F71" s="2" t="s">
        <v>3</v>
      </c>
      <c r="G71" s="2" t="s">
        <v>4</v>
      </c>
      <c r="H71" s="2" t="s">
        <v>5</v>
      </c>
      <c r="I71" s="2" t="s">
        <v>6</v>
      </c>
      <c r="J71" s="2" t="s">
        <v>7</v>
      </c>
    </row>
    <row r="72" spans="3:10" x14ac:dyDescent="0.2">
      <c r="C72" s="1" t="s">
        <v>1</v>
      </c>
      <c r="D72" s="1">
        <v>94.7916666666666</v>
      </c>
      <c r="E72" s="1"/>
      <c r="F72" s="1"/>
      <c r="G72" s="1"/>
      <c r="H72" s="1"/>
      <c r="I72" s="1"/>
      <c r="J72" s="1"/>
    </row>
    <row r="73" spans="3:10" x14ac:dyDescent="0.2">
      <c r="C73" s="1" t="s">
        <v>2</v>
      </c>
      <c r="D73" s="1">
        <v>92.7083333333333</v>
      </c>
      <c r="E73" s="1">
        <v>76.0416666666666</v>
      </c>
      <c r="F73" s="1"/>
      <c r="G73" s="1"/>
      <c r="H73" s="1"/>
      <c r="I73" s="1"/>
      <c r="J73" s="1"/>
    </row>
    <row r="74" spans="3:10" x14ac:dyDescent="0.2">
      <c r="C74" s="1" t="s">
        <v>3</v>
      </c>
      <c r="D74" s="1">
        <v>90.625</v>
      </c>
      <c r="E74" s="1">
        <v>78.125</v>
      </c>
      <c r="F74" s="1">
        <v>79.1666666666666</v>
      </c>
      <c r="G74" s="1"/>
      <c r="H74" s="1"/>
      <c r="I74" s="1"/>
      <c r="J74" s="1"/>
    </row>
    <row r="75" spans="3:10" x14ac:dyDescent="0.2">
      <c r="C75" s="1" t="s">
        <v>4</v>
      </c>
      <c r="D75" s="1">
        <v>89.5833333333333</v>
      </c>
      <c r="E75" s="1">
        <v>79.1666666666666</v>
      </c>
      <c r="F75" s="1">
        <v>84.375</v>
      </c>
      <c r="G75" s="1">
        <v>53.125</v>
      </c>
      <c r="H75" s="1"/>
      <c r="I75" s="1"/>
      <c r="J75" s="1"/>
    </row>
    <row r="76" spans="3:10" x14ac:dyDescent="0.2">
      <c r="C76" s="1" t="s">
        <v>5</v>
      </c>
      <c r="D76" s="1">
        <v>90.625</v>
      </c>
      <c r="E76" s="1">
        <v>77.0833333333333</v>
      </c>
      <c r="F76" s="1">
        <v>87.5</v>
      </c>
      <c r="G76" s="1">
        <v>54.1666666666666</v>
      </c>
      <c r="H76" s="1">
        <v>75</v>
      </c>
      <c r="I76" s="1"/>
      <c r="J76" s="1"/>
    </row>
    <row r="77" spans="3:10" x14ac:dyDescent="0.2">
      <c r="C77" s="1" t="s">
        <v>6</v>
      </c>
      <c r="D77" s="1">
        <v>89.5833333333333</v>
      </c>
      <c r="E77" s="1">
        <v>77.0833333333333</v>
      </c>
      <c r="F77" s="1">
        <v>87.5</v>
      </c>
      <c r="G77" s="1">
        <v>51.0416666666666</v>
      </c>
      <c r="H77" s="1">
        <v>73.9583333333333</v>
      </c>
      <c r="I77" s="1">
        <v>70.8333333333333</v>
      </c>
      <c r="J77" s="1"/>
    </row>
    <row r="78" spans="3:10" x14ac:dyDescent="0.2">
      <c r="C78" s="1" t="s">
        <v>7</v>
      </c>
      <c r="D78" s="1">
        <v>88.5416666666666</v>
      </c>
      <c r="E78" s="1">
        <v>69.7916666666666</v>
      </c>
      <c r="F78" s="1">
        <v>93.75</v>
      </c>
      <c r="G78" s="1">
        <v>52.0833333333333</v>
      </c>
      <c r="H78" s="1">
        <v>75</v>
      </c>
      <c r="I78" s="1">
        <v>67.7083333333333</v>
      </c>
      <c r="J78" s="1">
        <v>42.7083333333333</v>
      </c>
    </row>
    <row r="80" spans="3:10" x14ac:dyDescent="0.2">
      <c r="C80" t="s">
        <v>8</v>
      </c>
      <c r="D80">
        <f>AVERAGE(D78:J78)</f>
        <v>69.940476190476161</v>
      </c>
    </row>
    <row r="81" spans="3:10" x14ac:dyDescent="0.2">
      <c r="C81" t="s">
        <v>9</v>
      </c>
      <c r="D81">
        <f>(SUM((D78-D72)+(E78-E73)+(F78-F74)+(G78-G75)+(H78-H76)+(I78-I77)))/6</f>
        <v>-0.34722222222221671</v>
      </c>
    </row>
    <row r="82" spans="3:10" x14ac:dyDescent="0.2">
      <c r="C82" t="s">
        <v>10</v>
      </c>
      <c r="D82">
        <f>SUM((MAX(D72:D78)-D78)+(MAX(E73:E78)-E78)+(MAX(F74:F78)-F78)+(MAX(G75:G78)-G78)+(MAX(H76:H78)-H78)+(MAX(I77:I78)-I78))/6</f>
        <v>3.4722222222222165</v>
      </c>
    </row>
    <row r="85" spans="3:10" ht="15" thickBot="1" x14ac:dyDescent="0.25"/>
    <row r="86" spans="3:10" ht="15" thickBot="1" x14ac:dyDescent="0.25">
      <c r="C86" s="3" t="s">
        <v>16</v>
      </c>
      <c r="D86" s="4"/>
      <c r="E86" s="4"/>
      <c r="F86" s="4"/>
      <c r="G86" s="4"/>
      <c r="H86" s="4"/>
      <c r="I86" s="4"/>
      <c r="J86" s="5"/>
    </row>
    <row r="87" spans="3:10" x14ac:dyDescent="0.2">
      <c r="C87" s="2" t="s">
        <v>0</v>
      </c>
      <c r="D87" s="2" t="s">
        <v>1</v>
      </c>
      <c r="E87" s="2" t="s">
        <v>2</v>
      </c>
      <c r="F87" s="2" t="s">
        <v>3</v>
      </c>
      <c r="G87" s="2" t="s">
        <v>4</v>
      </c>
      <c r="H87" s="2" t="s">
        <v>5</v>
      </c>
      <c r="I87" s="2" t="s">
        <v>6</v>
      </c>
      <c r="J87" s="2" t="s">
        <v>7</v>
      </c>
    </row>
    <row r="88" spans="3:10" x14ac:dyDescent="0.2">
      <c r="C88" s="1" t="s">
        <v>1</v>
      </c>
      <c r="D88" s="1">
        <v>93.75</v>
      </c>
      <c r="E88" s="1"/>
      <c r="F88" s="1"/>
      <c r="G88" s="1"/>
      <c r="H88" s="1"/>
      <c r="I88" s="1"/>
      <c r="J88" s="1"/>
    </row>
    <row r="89" spans="3:10" x14ac:dyDescent="0.2">
      <c r="C89" s="1" t="s">
        <v>2</v>
      </c>
      <c r="D89" s="1">
        <v>92.7083333333333</v>
      </c>
      <c r="E89" s="1">
        <v>84.375</v>
      </c>
      <c r="F89" s="1"/>
      <c r="G89" s="1"/>
      <c r="H89" s="1"/>
      <c r="I89" s="1"/>
      <c r="J89" s="1"/>
    </row>
    <row r="90" spans="3:10" x14ac:dyDescent="0.2">
      <c r="C90" s="1" t="s">
        <v>3</v>
      </c>
      <c r="D90" s="1">
        <v>91.6666666666666</v>
      </c>
      <c r="E90" s="1">
        <v>84.375</v>
      </c>
      <c r="F90" s="1">
        <v>92.7083333333333</v>
      </c>
      <c r="G90" s="1"/>
      <c r="H90" s="1"/>
      <c r="I90" s="1"/>
      <c r="J90" s="1"/>
    </row>
    <row r="91" spans="3:10" x14ac:dyDescent="0.2">
      <c r="C91" s="1" t="s">
        <v>4</v>
      </c>
      <c r="D91" s="1">
        <v>93.75</v>
      </c>
      <c r="E91" s="1">
        <v>81.25</v>
      </c>
      <c r="F91" s="1">
        <v>89.5833333333333</v>
      </c>
      <c r="G91" s="1">
        <v>53.125</v>
      </c>
      <c r="H91" s="1"/>
      <c r="I91" s="1"/>
      <c r="J91" s="1"/>
    </row>
    <row r="92" spans="3:10" x14ac:dyDescent="0.2">
      <c r="C92" s="1" t="s">
        <v>5</v>
      </c>
      <c r="D92" s="1">
        <v>92.7083333333333</v>
      </c>
      <c r="E92" s="1">
        <v>81.25</v>
      </c>
      <c r="F92" s="1">
        <v>93.75</v>
      </c>
      <c r="G92" s="1">
        <v>52.0833333333333</v>
      </c>
      <c r="H92" s="1">
        <v>78.125</v>
      </c>
      <c r="I92" s="1"/>
      <c r="J92" s="1"/>
    </row>
    <row r="93" spans="3:10" x14ac:dyDescent="0.2">
      <c r="C93" s="1" t="s">
        <v>6</v>
      </c>
      <c r="D93" s="1">
        <v>93.75</v>
      </c>
      <c r="E93" s="1">
        <v>77.0833333333333</v>
      </c>
      <c r="F93" s="1">
        <v>94.7916666666666</v>
      </c>
      <c r="G93" s="1">
        <v>52.0833333333333</v>
      </c>
      <c r="H93" s="1">
        <v>77.0833333333333</v>
      </c>
      <c r="I93" s="1">
        <v>77.0833333333333</v>
      </c>
      <c r="J93" s="1"/>
    </row>
    <row r="94" spans="3:10" x14ac:dyDescent="0.2">
      <c r="C94" s="1" t="s">
        <v>7</v>
      </c>
      <c r="D94" s="1">
        <v>90.625</v>
      </c>
      <c r="E94" s="1">
        <v>77.0833333333333</v>
      </c>
      <c r="F94" s="1">
        <v>92.7083333333333</v>
      </c>
      <c r="G94" s="1">
        <v>51.0416666666666</v>
      </c>
      <c r="H94" s="1">
        <v>70.8333333333333</v>
      </c>
      <c r="I94" s="1">
        <v>66.6666666666666</v>
      </c>
      <c r="J94" s="1">
        <v>20.8333333333333</v>
      </c>
    </row>
    <row r="96" spans="3:10" x14ac:dyDescent="0.2">
      <c r="C96" t="s">
        <v>8</v>
      </c>
      <c r="D96">
        <f>AVERAGE(D94:J94)</f>
        <v>67.113095238095212</v>
      </c>
    </row>
    <row r="97" spans="3:10" x14ac:dyDescent="0.2">
      <c r="C97" t="s">
        <v>9</v>
      </c>
      <c r="D97">
        <f>(SUM((D94-D88)+(E94-E89)+(F94-F90)+(G94-G91)+(H94-H92)+(I94-I93)))/6</f>
        <v>-5.0347222222222499</v>
      </c>
    </row>
    <row r="98" spans="3:10" x14ac:dyDescent="0.2">
      <c r="C98" t="s">
        <v>10</v>
      </c>
      <c r="D98">
        <f>SUM((MAX(D88:D94)-D94)+(MAX(E89:E94)-E94)+(MAX(F90:F94)-F94)+(MAX(G91:G94)-G94)+(MAX(H92:H94)-H94)+(MAX(I93:I94)-I94))/6</f>
        <v>5.3819444444444668</v>
      </c>
    </row>
    <row r="106" spans="3:10" ht="15" thickBot="1" x14ac:dyDescent="0.25"/>
    <row r="107" spans="3:10" ht="15" thickBot="1" x14ac:dyDescent="0.25">
      <c r="C107" s="3" t="s">
        <v>17</v>
      </c>
      <c r="D107" s="4"/>
      <c r="E107" s="4"/>
      <c r="F107" s="4"/>
      <c r="G107" s="4"/>
      <c r="H107" s="4"/>
      <c r="I107" s="4"/>
      <c r="J107" s="5"/>
    </row>
    <row r="108" spans="3:10" x14ac:dyDescent="0.2">
      <c r="C108" s="2" t="s">
        <v>0</v>
      </c>
      <c r="D108" s="2" t="s">
        <v>1</v>
      </c>
      <c r="E108" s="2" t="s">
        <v>2</v>
      </c>
      <c r="F108" s="2" t="s">
        <v>3</v>
      </c>
      <c r="G108" s="2" t="s">
        <v>4</v>
      </c>
      <c r="H108" s="2" t="s">
        <v>5</v>
      </c>
      <c r="I108" s="2" t="s">
        <v>6</v>
      </c>
      <c r="J108" s="2" t="s">
        <v>7</v>
      </c>
    </row>
    <row r="109" spans="3:10" x14ac:dyDescent="0.2">
      <c r="C109" s="1" t="s">
        <v>1</v>
      </c>
      <c r="D109" s="1">
        <v>93.75</v>
      </c>
      <c r="E109" s="1"/>
      <c r="F109" s="1"/>
      <c r="G109" s="1"/>
      <c r="H109" s="1"/>
      <c r="I109" s="1"/>
      <c r="J109" s="1"/>
    </row>
    <row r="110" spans="3:10" x14ac:dyDescent="0.2">
      <c r="C110" s="1" t="s">
        <v>2</v>
      </c>
      <c r="D110" s="1">
        <v>93.75</v>
      </c>
      <c r="E110" s="1">
        <v>83.3333333333333</v>
      </c>
      <c r="F110" s="1"/>
      <c r="G110" s="1"/>
      <c r="H110" s="1"/>
      <c r="I110" s="1"/>
      <c r="J110" s="1"/>
    </row>
    <row r="111" spans="3:10" x14ac:dyDescent="0.2">
      <c r="C111" s="1" t="s">
        <v>3</v>
      </c>
      <c r="D111">
        <v>93.75</v>
      </c>
      <c r="E111" s="1">
        <v>80.2083333333333</v>
      </c>
      <c r="F111" s="1">
        <v>87.5</v>
      </c>
      <c r="G111" s="1"/>
      <c r="H111" s="1"/>
      <c r="I111" s="1"/>
      <c r="J111" s="1"/>
    </row>
    <row r="112" spans="3:10" x14ac:dyDescent="0.2">
      <c r="C112" s="1" t="s">
        <v>4</v>
      </c>
      <c r="D112" s="1">
        <v>93.75</v>
      </c>
      <c r="E112" s="1">
        <v>79.1666666666666</v>
      </c>
      <c r="F112" s="1">
        <v>0</v>
      </c>
      <c r="G112" s="1">
        <v>54.1666666666666</v>
      </c>
      <c r="H112" s="1"/>
      <c r="I112" s="1"/>
      <c r="J112" s="1"/>
    </row>
    <row r="113" spans="3:10" x14ac:dyDescent="0.2">
      <c r="C113" s="1" t="s">
        <v>5</v>
      </c>
      <c r="D113" s="1">
        <v>91.6666666666666</v>
      </c>
      <c r="E113" s="1">
        <v>81.25</v>
      </c>
      <c r="F113" s="1">
        <v>0</v>
      </c>
      <c r="G113" s="1">
        <v>53.125</v>
      </c>
      <c r="H113" s="1">
        <v>88.5416666666666</v>
      </c>
      <c r="I113" s="1"/>
      <c r="J113" s="1"/>
    </row>
    <row r="114" spans="3:10" x14ac:dyDescent="0.2">
      <c r="C114" s="1" t="s">
        <v>6</v>
      </c>
      <c r="D114" s="1">
        <v>91.6666666666666</v>
      </c>
      <c r="E114" s="1">
        <v>81.25</v>
      </c>
      <c r="F114" s="1">
        <v>0</v>
      </c>
      <c r="G114" s="1">
        <v>52.0833333333333</v>
      </c>
      <c r="H114" s="1">
        <v>89.5833333333333</v>
      </c>
      <c r="I114" s="1">
        <v>63.5416666666666</v>
      </c>
      <c r="J114" s="1"/>
    </row>
    <row r="115" spans="3:10" x14ac:dyDescent="0.2">
      <c r="C115" s="1" t="s">
        <v>7</v>
      </c>
      <c r="D115" s="1">
        <v>88.5416666666666</v>
      </c>
      <c r="E115" s="1">
        <v>56.25</v>
      </c>
      <c r="F115" s="1">
        <v>0</v>
      </c>
      <c r="G115" s="1">
        <v>32.2916666666666</v>
      </c>
      <c r="H115" s="1">
        <v>85.4166666666666</v>
      </c>
      <c r="I115" s="1">
        <v>39.5833333333333</v>
      </c>
      <c r="J115" s="1">
        <v>42.7083333333333</v>
      </c>
    </row>
    <row r="117" spans="3:10" x14ac:dyDescent="0.2">
      <c r="C117" t="s">
        <v>8</v>
      </c>
      <c r="D117">
        <f>AVERAGE(D115:J115)</f>
        <v>49.255952380952344</v>
      </c>
    </row>
    <row r="118" spans="3:10" x14ac:dyDescent="0.2">
      <c r="C118" t="s">
        <v>9</v>
      </c>
      <c r="D118">
        <f>(SUM((D115-D109)+(E115-E110)+(F115-F111)+(G115-G112)+(H115-H113)+(I115-I114)))/6</f>
        <v>-28.125</v>
      </c>
    </row>
    <row r="119" spans="3:10" x14ac:dyDescent="0.2">
      <c r="C119" t="s">
        <v>10</v>
      </c>
      <c r="D119">
        <f>SUM((MAX(D109:D115)-D115)+(MAX(E110:E115)-E115)+(MAX(F111:F115)-F115)+(MAX(G112:G115)-G115)+(MAX(H113:H115)-H115)+(MAX(I114:I115)-I115))/6</f>
        <v>28.298611111111114</v>
      </c>
    </row>
    <row r="122" spans="3:10" ht="15" thickBot="1" x14ac:dyDescent="0.25"/>
    <row r="123" spans="3:10" ht="15" thickBot="1" x14ac:dyDescent="0.25">
      <c r="C123" s="3" t="s">
        <v>18</v>
      </c>
      <c r="D123" s="4"/>
      <c r="E123" s="4"/>
      <c r="F123" s="4"/>
      <c r="G123" s="4"/>
      <c r="H123" s="4"/>
      <c r="I123" s="4"/>
      <c r="J123" s="5"/>
    </row>
    <row r="124" spans="3:10" x14ac:dyDescent="0.2">
      <c r="C124" s="2" t="s">
        <v>0</v>
      </c>
      <c r="D124" s="2" t="s">
        <v>1</v>
      </c>
      <c r="E124" s="2" t="s">
        <v>2</v>
      </c>
      <c r="F124" s="2" t="s">
        <v>3</v>
      </c>
      <c r="G124" s="2" t="s">
        <v>4</v>
      </c>
      <c r="H124" s="2" t="s">
        <v>5</v>
      </c>
      <c r="I124" s="2" t="s">
        <v>6</v>
      </c>
      <c r="J124" s="2" t="s">
        <v>7</v>
      </c>
    </row>
    <row r="125" spans="3:10" x14ac:dyDescent="0.2">
      <c r="C125" s="1" t="s">
        <v>1</v>
      </c>
      <c r="D125" s="1">
        <v>91.6666666666666</v>
      </c>
      <c r="E125" s="1"/>
      <c r="F125" s="1"/>
      <c r="G125" s="1"/>
      <c r="H125" s="1"/>
      <c r="I125" s="1"/>
      <c r="J125" s="1"/>
    </row>
    <row r="126" spans="3:10" x14ac:dyDescent="0.2">
      <c r="C126" s="1" t="s">
        <v>2</v>
      </c>
      <c r="D126" s="1">
        <v>91.6666666666666</v>
      </c>
      <c r="E126" s="1">
        <v>78.125</v>
      </c>
      <c r="F126" s="1"/>
      <c r="G126" s="1"/>
      <c r="H126" s="1"/>
      <c r="I126" s="1"/>
      <c r="J126" s="1"/>
    </row>
    <row r="127" spans="3:10" x14ac:dyDescent="0.2">
      <c r="C127" s="1" t="s">
        <v>3</v>
      </c>
      <c r="D127">
        <v>92.7083333333333</v>
      </c>
      <c r="E127" s="1">
        <v>77.0833333333333</v>
      </c>
      <c r="F127" s="1">
        <v>87.5</v>
      </c>
      <c r="G127" s="1"/>
      <c r="H127" s="1"/>
      <c r="I127" s="1"/>
      <c r="J127" s="1"/>
    </row>
    <row r="128" spans="3:10" x14ac:dyDescent="0.2">
      <c r="C128" s="1" t="s">
        <v>4</v>
      </c>
      <c r="D128" s="1">
        <v>95.8333333333333</v>
      </c>
      <c r="E128" s="1">
        <v>79.1666666666666</v>
      </c>
      <c r="F128" s="1">
        <v>0</v>
      </c>
      <c r="G128" s="1">
        <v>48.9583333333333</v>
      </c>
      <c r="H128" s="1"/>
      <c r="I128" s="1"/>
      <c r="J128" s="1"/>
    </row>
    <row r="129" spans="3:10" x14ac:dyDescent="0.2">
      <c r="C129" s="1" t="s">
        <v>5</v>
      </c>
      <c r="D129" s="1">
        <v>94.7916666666666</v>
      </c>
      <c r="E129" s="1">
        <v>82.2916666666666</v>
      </c>
      <c r="F129">
        <v>0</v>
      </c>
      <c r="G129" s="1">
        <v>47.9166666666666</v>
      </c>
      <c r="H129" s="1">
        <v>80.2083333333333</v>
      </c>
      <c r="I129" s="1"/>
      <c r="J129" s="1"/>
    </row>
    <row r="130" spans="3:10" x14ac:dyDescent="0.2">
      <c r="C130" s="1" t="s">
        <v>6</v>
      </c>
      <c r="D130" s="1">
        <v>92.7083333333333</v>
      </c>
      <c r="E130" s="1">
        <v>81.25</v>
      </c>
      <c r="F130" s="1">
        <v>0</v>
      </c>
      <c r="G130" s="1">
        <v>46.875</v>
      </c>
      <c r="H130" s="1">
        <v>79.1666666666666</v>
      </c>
      <c r="I130" s="1">
        <v>73.9583333333333</v>
      </c>
      <c r="J130" s="1"/>
    </row>
    <row r="131" spans="3:10" x14ac:dyDescent="0.2">
      <c r="C131" s="1" t="s">
        <v>7</v>
      </c>
      <c r="D131" s="1">
        <v>92.7083333333333</v>
      </c>
      <c r="E131" s="1">
        <v>80.2083333333333</v>
      </c>
      <c r="F131" s="1">
        <v>0</v>
      </c>
      <c r="G131" s="1">
        <v>50</v>
      </c>
      <c r="H131" s="1">
        <v>81.25</v>
      </c>
      <c r="I131" s="1">
        <v>69.7916666666666</v>
      </c>
      <c r="J131" s="1">
        <v>43.75</v>
      </c>
    </row>
    <row r="133" spans="3:10" x14ac:dyDescent="0.2">
      <c r="C133" t="s">
        <v>8</v>
      </c>
      <c r="D133">
        <f>AVERAGE(D131:J131)</f>
        <v>59.672619047619037</v>
      </c>
    </row>
    <row r="134" spans="3:10" x14ac:dyDescent="0.2">
      <c r="C134" t="s">
        <v>9</v>
      </c>
      <c r="D134">
        <f>(SUM((D131-D125)+(E131-E126)+(F131-F127)+(G131-G128)+(H131-H129)+(I131-I130)))/6</f>
        <v>-14.409722222222216</v>
      </c>
    </row>
    <row r="135" spans="3:10" x14ac:dyDescent="0.2">
      <c r="C135" t="s">
        <v>10</v>
      </c>
      <c r="D135">
        <f>SUM((MAX(D125:D131)-D131)+(MAX(E126:E131)-E131)+(MAX(F127:F131)-F131)+(MAX(G128:G131)-G131)+(MAX(H129:H131)-H131)+(MAX(I130:I131)-I131))/6</f>
        <v>16.145833333333332</v>
      </c>
    </row>
    <row r="138" spans="3:10" ht="15" thickBot="1" x14ac:dyDescent="0.25"/>
    <row r="139" spans="3:10" ht="15" thickBot="1" x14ac:dyDescent="0.25">
      <c r="C139" s="3" t="s">
        <v>19</v>
      </c>
      <c r="D139" s="4"/>
      <c r="E139" s="4"/>
      <c r="F139" s="4"/>
      <c r="G139" s="4"/>
      <c r="H139" s="4"/>
      <c r="I139" s="4"/>
      <c r="J139" s="5"/>
    </row>
    <row r="140" spans="3:10" x14ac:dyDescent="0.2">
      <c r="C140" s="2" t="s">
        <v>0</v>
      </c>
      <c r="D140" s="2" t="s">
        <v>1</v>
      </c>
      <c r="E140" s="2" t="s">
        <v>2</v>
      </c>
      <c r="F140" s="2" t="s">
        <v>3</v>
      </c>
      <c r="G140" s="2" t="s">
        <v>4</v>
      </c>
      <c r="H140" s="2" t="s">
        <v>5</v>
      </c>
      <c r="I140" s="2" t="s">
        <v>6</v>
      </c>
      <c r="J140" s="2" t="s">
        <v>7</v>
      </c>
    </row>
    <row r="141" spans="3:10" x14ac:dyDescent="0.2">
      <c r="C141" s="1" t="s">
        <v>1</v>
      </c>
      <c r="D141" s="1">
        <v>93.75</v>
      </c>
      <c r="E141" s="1"/>
      <c r="F141" s="1"/>
      <c r="G141" s="1"/>
      <c r="H141" s="1"/>
      <c r="I141" s="1"/>
      <c r="J141" s="1"/>
    </row>
    <row r="142" spans="3:10" x14ac:dyDescent="0.2">
      <c r="C142" s="1" t="s">
        <v>2</v>
      </c>
      <c r="D142" s="1">
        <v>91.6666666666666</v>
      </c>
      <c r="E142" s="1">
        <v>77.0833333333333</v>
      </c>
      <c r="F142" s="1"/>
      <c r="G142" s="1"/>
      <c r="H142" s="1"/>
      <c r="I142" s="1"/>
      <c r="J142" s="1"/>
    </row>
    <row r="143" spans="3:10" x14ac:dyDescent="0.2">
      <c r="C143" s="1" t="s">
        <v>3</v>
      </c>
      <c r="D143" s="1">
        <v>93.75</v>
      </c>
      <c r="E143" s="1">
        <v>80.2083333333333</v>
      </c>
      <c r="F143" s="1">
        <v>96.875</v>
      </c>
      <c r="G143" s="1"/>
      <c r="H143" s="1"/>
      <c r="I143" s="1"/>
      <c r="J143" s="1"/>
    </row>
    <row r="144" spans="3:10" x14ac:dyDescent="0.2">
      <c r="C144" s="1" t="s">
        <v>4</v>
      </c>
      <c r="D144" s="1">
        <v>92.7083333333333</v>
      </c>
      <c r="E144" s="1">
        <v>77.0833333333333</v>
      </c>
      <c r="F144" s="1">
        <v>93.75</v>
      </c>
      <c r="G144" s="1">
        <v>50</v>
      </c>
      <c r="H144" s="1"/>
      <c r="I144" s="1"/>
      <c r="J144" s="1"/>
    </row>
    <row r="145" spans="3:10" x14ac:dyDescent="0.2">
      <c r="C145" s="1" t="s">
        <v>5</v>
      </c>
      <c r="D145" s="1">
        <v>92.7083333333333</v>
      </c>
      <c r="E145" s="1">
        <v>78.125</v>
      </c>
      <c r="F145">
        <v>94.7916666666666</v>
      </c>
      <c r="G145" s="1">
        <v>52.0833333333333</v>
      </c>
      <c r="H145" s="1">
        <v>65.625</v>
      </c>
      <c r="I145" s="1"/>
      <c r="J145" s="1"/>
    </row>
    <row r="146" spans="3:10" x14ac:dyDescent="0.2">
      <c r="C146" s="1" t="s">
        <v>6</v>
      </c>
      <c r="D146" s="1">
        <v>93.75</v>
      </c>
      <c r="E146" s="1">
        <v>79.1666666666666</v>
      </c>
      <c r="F146" s="1">
        <v>94.7916666666666</v>
      </c>
      <c r="G146" s="1">
        <v>47.9166666666666</v>
      </c>
      <c r="H146" s="1">
        <v>64.5833333333333</v>
      </c>
      <c r="I146" s="1">
        <v>75</v>
      </c>
      <c r="J146" s="1"/>
    </row>
    <row r="147" spans="3:10" x14ac:dyDescent="0.2">
      <c r="C147" s="1" t="s">
        <v>7</v>
      </c>
      <c r="D147" s="1">
        <v>92.7083333333333</v>
      </c>
      <c r="E147" s="1">
        <v>79.1666666666666</v>
      </c>
      <c r="F147" s="1">
        <v>96.875</v>
      </c>
      <c r="G147" s="1">
        <v>46.875</v>
      </c>
      <c r="H147" s="1">
        <v>58.3333333333333</v>
      </c>
      <c r="I147" s="1">
        <v>75</v>
      </c>
      <c r="J147" s="1">
        <v>41.6666666666666</v>
      </c>
    </row>
    <row r="149" spans="3:10" x14ac:dyDescent="0.2">
      <c r="C149" t="s">
        <v>8</v>
      </c>
      <c r="D149">
        <f>AVERAGE(D147:J147)</f>
        <v>70.08928571428568</v>
      </c>
    </row>
    <row r="150" spans="3:10" x14ac:dyDescent="0.2">
      <c r="C150" t="s">
        <v>9</v>
      </c>
      <c r="D150">
        <f>(SUM((D147-D141)+(E147-E142)+(F147-F143)+(G147-G144)+(H147-H145)+(I147-I146)))/6</f>
        <v>-1.5625000000000167</v>
      </c>
    </row>
    <row r="151" spans="3:10" x14ac:dyDescent="0.2">
      <c r="C151" t="s">
        <v>10</v>
      </c>
      <c r="D151">
        <f>SUM((MAX(D141:D147)-D147)+(MAX(E142:E147)-E147)+(MAX(F143:F147)-F147)+(MAX(G144:G147)-G147)+(MAX(H145:H147)-H147)+(MAX(I146:I147)-I147))/6</f>
        <v>2.4305555555555665</v>
      </c>
    </row>
    <row r="153" spans="3:10" ht="15" thickBot="1" x14ac:dyDescent="0.25"/>
    <row r="154" spans="3:10" ht="15" thickBot="1" x14ac:dyDescent="0.25">
      <c r="C154" s="3" t="s">
        <v>21</v>
      </c>
      <c r="D154" s="4"/>
      <c r="E154" s="4"/>
      <c r="F154" s="4"/>
      <c r="G154" s="4"/>
      <c r="H154" s="4"/>
      <c r="I154" s="4"/>
      <c r="J154" s="5"/>
    </row>
    <row r="155" spans="3:10" x14ac:dyDescent="0.2">
      <c r="C155" s="2" t="s">
        <v>0</v>
      </c>
      <c r="D155" s="2" t="s">
        <v>1</v>
      </c>
      <c r="E155" s="2" t="s">
        <v>2</v>
      </c>
      <c r="F155" s="2" t="s">
        <v>3</v>
      </c>
      <c r="G155" s="2" t="s">
        <v>4</v>
      </c>
      <c r="H155" s="2" t="s">
        <v>5</v>
      </c>
      <c r="I155" s="2" t="s">
        <v>6</v>
      </c>
      <c r="J155" s="2" t="s">
        <v>7</v>
      </c>
    </row>
    <row r="156" spans="3:10" x14ac:dyDescent="0.2">
      <c r="C156" s="1" t="s">
        <v>1</v>
      </c>
      <c r="D156" s="1">
        <v>92.7083333333333</v>
      </c>
      <c r="E156" s="1"/>
      <c r="F156" s="1"/>
      <c r="G156" s="1"/>
      <c r="H156" s="1"/>
      <c r="I156" s="1"/>
      <c r="J156" s="1"/>
    </row>
    <row r="157" spans="3:10" x14ac:dyDescent="0.2">
      <c r="C157" s="1" t="s">
        <v>2</v>
      </c>
      <c r="D157" s="1">
        <v>92.7083333333333</v>
      </c>
      <c r="E157" s="1">
        <v>79.1666666666666</v>
      </c>
      <c r="F157" s="1"/>
      <c r="G157" s="1"/>
      <c r="H157" s="1"/>
      <c r="I157" s="1"/>
      <c r="J157" s="1"/>
    </row>
    <row r="158" spans="3:10" x14ac:dyDescent="0.2">
      <c r="C158" s="1" t="s">
        <v>3</v>
      </c>
      <c r="D158" s="1">
        <v>93.75</v>
      </c>
      <c r="E158" s="1">
        <v>75</v>
      </c>
      <c r="F158" s="1">
        <v>79.1666666666666</v>
      </c>
      <c r="G158" s="1"/>
      <c r="H158" s="1"/>
      <c r="I158" s="1"/>
      <c r="J158" s="1"/>
    </row>
    <row r="159" spans="3:10" x14ac:dyDescent="0.2">
      <c r="C159" s="1" t="s">
        <v>4</v>
      </c>
      <c r="D159" s="1">
        <v>92.7083333333333</v>
      </c>
      <c r="E159" s="1">
        <v>71.875</v>
      </c>
      <c r="F159" s="1">
        <v>81.25</v>
      </c>
      <c r="G159" s="1">
        <v>54.1666666666666</v>
      </c>
      <c r="H159" s="1"/>
      <c r="I159" s="1"/>
      <c r="J159" s="1"/>
    </row>
    <row r="160" spans="3:10" x14ac:dyDescent="0.2">
      <c r="C160" s="1" t="s">
        <v>5</v>
      </c>
      <c r="D160" s="1">
        <v>92.7083333333333</v>
      </c>
      <c r="E160" s="1">
        <v>76.0416666666666</v>
      </c>
      <c r="F160">
        <v>82.2916666666666</v>
      </c>
      <c r="G160" s="1">
        <v>53.125</v>
      </c>
      <c r="H160" s="1">
        <v>63.5416666666666</v>
      </c>
      <c r="I160" s="1"/>
      <c r="J160" s="1"/>
    </row>
    <row r="161" spans="3:10" x14ac:dyDescent="0.2">
      <c r="C161" s="1" t="s">
        <v>6</v>
      </c>
      <c r="D161" s="1">
        <v>93.75</v>
      </c>
      <c r="E161" s="1">
        <v>75</v>
      </c>
      <c r="F161" s="1">
        <v>77.0833333333333</v>
      </c>
      <c r="G161" s="1">
        <v>53.125</v>
      </c>
      <c r="H161" s="1">
        <v>62.5</v>
      </c>
      <c r="I161" s="1">
        <v>77.0833333333333</v>
      </c>
      <c r="J161" s="1"/>
    </row>
    <row r="162" spans="3:10" x14ac:dyDescent="0.2">
      <c r="C162" s="1" t="s">
        <v>7</v>
      </c>
      <c r="D162" s="1">
        <v>93.75</v>
      </c>
      <c r="E162" s="1">
        <v>72.9166666666666</v>
      </c>
      <c r="F162" s="1">
        <v>81.25</v>
      </c>
      <c r="G162" s="1">
        <v>48.9583333333333</v>
      </c>
      <c r="H162" s="1">
        <v>59.375</v>
      </c>
      <c r="I162" s="1">
        <v>75</v>
      </c>
      <c r="J162" s="1">
        <v>42.7083333333333</v>
      </c>
    </row>
    <row r="164" spans="3:10" x14ac:dyDescent="0.2">
      <c r="C164" t="s">
        <v>8</v>
      </c>
      <c r="D164">
        <f>AVERAGE(D162:J162)</f>
        <v>67.708333333333314</v>
      </c>
    </row>
    <row r="165" spans="3:10" x14ac:dyDescent="0.2">
      <c r="C165" t="s">
        <v>9</v>
      </c>
      <c r="D165">
        <f>(SUM((D162-D156)+(E162-E157)+(F162-F158)+(G162-G159)+(H162-H160)+(I162-I161)))/6</f>
        <v>-2.4305555555555167</v>
      </c>
    </row>
    <row r="166" spans="3:10" x14ac:dyDescent="0.2">
      <c r="C166" t="s">
        <v>10</v>
      </c>
      <c r="D166">
        <f>SUM((MAX(D156:D162)-D162)+(MAX(E157:E162)-E162)+(MAX(F158:F162)-F162)+(MAX(G159:G162)-G162)+(MAX(H160:H162)-H162)+(MAX(I161:I162)-I162))/6</f>
        <v>3.1249999999999667</v>
      </c>
    </row>
    <row r="168" spans="3:10" ht="15" thickBot="1" x14ac:dyDescent="0.25"/>
    <row r="169" spans="3:10" ht="15" thickBot="1" x14ac:dyDescent="0.25">
      <c r="C169" s="3" t="s">
        <v>20</v>
      </c>
      <c r="D169" s="4"/>
      <c r="E169" s="4"/>
      <c r="F169" s="4"/>
      <c r="G169" s="4"/>
      <c r="H169" s="4"/>
      <c r="I169" s="4"/>
      <c r="J169" s="5"/>
    </row>
    <row r="170" spans="3:10" x14ac:dyDescent="0.2">
      <c r="C170" s="2" t="s">
        <v>0</v>
      </c>
      <c r="D170" s="2" t="s">
        <v>1</v>
      </c>
      <c r="E170" s="2" t="s">
        <v>2</v>
      </c>
      <c r="F170" s="2" t="s">
        <v>3</v>
      </c>
      <c r="G170" s="2" t="s">
        <v>4</v>
      </c>
      <c r="H170" s="2" t="s">
        <v>5</v>
      </c>
      <c r="I170" s="2" t="s">
        <v>6</v>
      </c>
      <c r="J170" s="2" t="s">
        <v>7</v>
      </c>
    </row>
    <row r="171" spans="3:10" x14ac:dyDescent="0.2">
      <c r="C171" s="1" t="s">
        <v>1</v>
      </c>
      <c r="D171" s="1">
        <v>92.7083333333333</v>
      </c>
      <c r="E171" s="1"/>
      <c r="F171" s="1"/>
      <c r="G171" s="1"/>
      <c r="H171" s="1"/>
      <c r="I171" s="1"/>
      <c r="J171" s="1"/>
    </row>
    <row r="172" spans="3:10" x14ac:dyDescent="0.2">
      <c r="C172" s="1" t="s">
        <v>2</v>
      </c>
      <c r="D172" s="1">
        <v>93.75</v>
      </c>
      <c r="E172" s="1">
        <v>78.125</v>
      </c>
      <c r="F172" s="1"/>
      <c r="G172" s="1"/>
      <c r="H172" s="1"/>
      <c r="I172" s="1"/>
      <c r="J172" s="1"/>
    </row>
    <row r="173" spans="3:10" x14ac:dyDescent="0.2">
      <c r="C173" s="1" t="s">
        <v>3</v>
      </c>
      <c r="D173" s="1">
        <v>94.7916666666666</v>
      </c>
      <c r="E173" s="1">
        <v>77.0833333333333</v>
      </c>
      <c r="F173" s="1">
        <v>77.0833333333333</v>
      </c>
      <c r="G173" s="1"/>
      <c r="H173" s="1"/>
      <c r="I173" s="1"/>
      <c r="J173" s="1"/>
    </row>
    <row r="174" spans="3:10" x14ac:dyDescent="0.2">
      <c r="C174" s="1" t="s">
        <v>4</v>
      </c>
      <c r="D174" s="1">
        <v>92.7083333333333</v>
      </c>
      <c r="E174" s="1">
        <v>77.0833333333333</v>
      </c>
      <c r="F174" s="1">
        <v>0</v>
      </c>
      <c r="G174" s="1">
        <v>57.2916666666666</v>
      </c>
      <c r="H174" s="1"/>
      <c r="I174" s="1"/>
      <c r="J174" s="1"/>
    </row>
    <row r="175" spans="3:10" x14ac:dyDescent="0.2">
      <c r="C175" s="1" t="s">
        <v>5</v>
      </c>
      <c r="D175" s="1">
        <v>92.7083333333333</v>
      </c>
      <c r="E175" s="1">
        <v>80.2083333333333</v>
      </c>
      <c r="F175">
        <v>0</v>
      </c>
      <c r="G175" s="1">
        <v>58.3333333333333</v>
      </c>
      <c r="H175" s="1">
        <v>80.2083333333333</v>
      </c>
      <c r="I175" s="1"/>
      <c r="J175" s="1"/>
    </row>
    <row r="176" spans="3:10" x14ac:dyDescent="0.2">
      <c r="C176" s="1" t="s">
        <v>6</v>
      </c>
      <c r="D176" s="1">
        <v>93.75</v>
      </c>
      <c r="E176" s="1">
        <v>79.1666666666666</v>
      </c>
      <c r="F176" s="1">
        <v>0</v>
      </c>
      <c r="G176" s="1">
        <v>56.25</v>
      </c>
      <c r="H176" s="1">
        <v>81.25</v>
      </c>
      <c r="I176" s="1">
        <v>86.4583333333333</v>
      </c>
      <c r="J176" s="1"/>
    </row>
    <row r="177" spans="3:10" x14ac:dyDescent="0.2">
      <c r="C177" s="1" t="s">
        <v>7</v>
      </c>
      <c r="D177" s="1">
        <v>88.5416666666666</v>
      </c>
      <c r="E177" s="1">
        <v>76.0416666666666</v>
      </c>
      <c r="F177" s="1">
        <v>0</v>
      </c>
      <c r="G177" s="1">
        <v>54.1666666666666</v>
      </c>
      <c r="H177" s="1">
        <v>82.2916666666666</v>
      </c>
      <c r="I177" s="1">
        <v>81.25</v>
      </c>
      <c r="J177" s="1">
        <v>40.625</v>
      </c>
    </row>
    <row r="179" spans="3:10" x14ac:dyDescent="0.2">
      <c r="C179" t="s">
        <v>8</v>
      </c>
      <c r="D179">
        <f>AVERAGE(D177:J177)</f>
        <v>60.416666666666629</v>
      </c>
    </row>
    <row r="180" spans="3:10" x14ac:dyDescent="0.2">
      <c r="C180" t="s">
        <v>9</v>
      </c>
      <c r="D180">
        <f>(SUM((D177-D171)+(E177-E172)+(F177-F173)+(G177-G174)+(H177-H175)+(I177-I176)))/6</f>
        <v>-14.930555555555566</v>
      </c>
    </row>
    <row r="181" spans="3:10" x14ac:dyDescent="0.2">
      <c r="C181" t="s">
        <v>10</v>
      </c>
      <c r="D181">
        <f>SUM((MAX(D171:D177)-D177)+(MAX(E172:E177)-E177)+(MAX(F173:F177)-F177)+(MAX(G174:G177)-G177)+(MAX(H175:H177)-H177)+(MAX(I176:I177)-I177))/6</f>
        <v>16.145833333333332</v>
      </c>
    </row>
    <row r="183" spans="3:10" ht="15" thickBot="1" x14ac:dyDescent="0.25"/>
    <row r="184" spans="3:10" ht="15" thickBot="1" x14ac:dyDescent="0.25">
      <c r="C184" s="3" t="s">
        <v>22</v>
      </c>
      <c r="D184" s="4"/>
      <c r="E184" s="4"/>
      <c r="F184" s="4"/>
      <c r="G184" s="4"/>
      <c r="H184" s="4"/>
      <c r="I184" s="4"/>
      <c r="J184" s="5"/>
    </row>
    <row r="185" spans="3:10" x14ac:dyDescent="0.2">
      <c r="C185" s="2" t="s">
        <v>0</v>
      </c>
      <c r="D185" s="2" t="s">
        <v>1</v>
      </c>
      <c r="E185" s="2" t="s">
        <v>2</v>
      </c>
      <c r="F185" s="2" t="s">
        <v>3</v>
      </c>
      <c r="G185" s="2" t="s">
        <v>4</v>
      </c>
      <c r="H185" s="2" t="s">
        <v>5</v>
      </c>
      <c r="I185" s="2" t="s">
        <v>6</v>
      </c>
      <c r="J185" s="2" t="s">
        <v>7</v>
      </c>
    </row>
    <row r="186" spans="3:10" x14ac:dyDescent="0.2">
      <c r="C186" s="1" t="s">
        <v>1</v>
      </c>
      <c r="D186" s="1">
        <v>91.6666666666666</v>
      </c>
      <c r="E186" s="1"/>
      <c r="F186" s="1"/>
      <c r="G186" s="1"/>
      <c r="H186" s="1"/>
      <c r="I186" s="1"/>
      <c r="J186" s="1"/>
    </row>
    <row r="187" spans="3:10" x14ac:dyDescent="0.2">
      <c r="C187" s="1" t="s">
        <v>2</v>
      </c>
      <c r="D187" s="1">
        <v>90.625</v>
      </c>
      <c r="E187" s="1">
        <v>77.0833333333333</v>
      </c>
      <c r="F187" s="1"/>
      <c r="G187" s="1"/>
      <c r="H187" s="1"/>
      <c r="I187" s="1"/>
      <c r="J187" s="1"/>
    </row>
    <row r="188" spans="3:10" x14ac:dyDescent="0.2">
      <c r="C188" s="1" t="s">
        <v>3</v>
      </c>
      <c r="D188" s="1">
        <v>91.6666666666666</v>
      </c>
      <c r="E188" s="1">
        <v>76.0416666666666</v>
      </c>
      <c r="F188" s="1">
        <v>92.7083333333333</v>
      </c>
      <c r="H188" s="1"/>
      <c r="I188" s="1"/>
      <c r="J188" s="1"/>
    </row>
    <row r="189" spans="3:10" x14ac:dyDescent="0.2">
      <c r="C189" s="1" t="s">
        <v>4</v>
      </c>
      <c r="D189" s="1">
        <v>91.6666666666666</v>
      </c>
      <c r="E189" s="1">
        <v>72.9166666666666</v>
      </c>
      <c r="F189" s="1">
        <v>0</v>
      </c>
      <c r="G189" s="1">
        <v>55.2083333333333</v>
      </c>
      <c r="H189" s="1"/>
      <c r="I189" s="1"/>
      <c r="J189" s="1"/>
    </row>
    <row r="190" spans="3:10" x14ac:dyDescent="0.2">
      <c r="C190" s="1" t="s">
        <v>5</v>
      </c>
      <c r="D190" s="1">
        <v>91.6666666666666</v>
      </c>
      <c r="E190" s="1">
        <v>70.8333333333333</v>
      </c>
      <c r="F190">
        <v>0</v>
      </c>
      <c r="G190" s="1">
        <v>57.2916666666666</v>
      </c>
      <c r="H190" s="1">
        <v>70.8333333333333</v>
      </c>
      <c r="I190" s="1"/>
      <c r="J190" s="1"/>
    </row>
    <row r="191" spans="3:10" x14ac:dyDescent="0.2">
      <c r="C191" s="1" t="s">
        <v>6</v>
      </c>
      <c r="D191" s="1">
        <v>93.75</v>
      </c>
      <c r="E191" s="1">
        <v>69.7916666666666</v>
      </c>
      <c r="F191" s="1">
        <v>0</v>
      </c>
      <c r="G191" s="1">
        <v>55.2083333333333</v>
      </c>
      <c r="H191" s="1">
        <v>65.625</v>
      </c>
      <c r="I191" s="1">
        <v>82.2916666666666</v>
      </c>
      <c r="J191" s="1"/>
    </row>
    <row r="192" spans="3:10" x14ac:dyDescent="0.2">
      <c r="C192" s="1" t="s">
        <v>7</v>
      </c>
      <c r="D192" s="1">
        <v>91.6666666666666</v>
      </c>
      <c r="E192" s="1">
        <v>69.7916666666666</v>
      </c>
      <c r="F192" s="1">
        <v>0</v>
      </c>
      <c r="G192" s="1">
        <v>48.9583333333333</v>
      </c>
      <c r="H192" s="1">
        <v>69.7916666666666</v>
      </c>
      <c r="I192" s="1">
        <v>80.2083333333333</v>
      </c>
      <c r="J192" s="1">
        <v>46.875</v>
      </c>
    </row>
    <row r="194" spans="3:10" x14ac:dyDescent="0.2">
      <c r="C194" t="s">
        <v>8</v>
      </c>
      <c r="D194">
        <f>AVERAGE(D192:J192)</f>
        <v>58.184523809523782</v>
      </c>
    </row>
    <row r="195" spans="3:10" x14ac:dyDescent="0.2">
      <c r="C195" t="s">
        <v>9</v>
      </c>
      <c r="D195">
        <f>(SUM((D192-D186)+(E192-E187)+(F192-F188)+(G192-G189)+(H192-H190)+(I192-I191)))/6</f>
        <v>-18.229166666666668</v>
      </c>
    </row>
    <row r="196" spans="3:10" x14ac:dyDescent="0.2">
      <c r="C196" t="s">
        <v>10</v>
      </c>
      <c r="D196">
        <f>SUM((MAX(D186:D192)-D192)+(MAX(E187:E192)-E192)+(MAX(F188:F192)-F192)+(MAX(G189:G192)-G192)+(MAX(H190:H192)-H192)+(MAX(I191:I192)-I192))/6</f>
        <v>18.923611111111118</v>
      </c>
    </row>
    <row r="202" spans="3:10" ht="15" thickBot="1" x14ac:dyDescent="0.25"/>
    <row r="203" spans="3:10" x14ac:dyDescent="0.2">
      <c r="C203" s="7" t="s">
        <v>23</v>
      </c>
      <c r="D203" s="8"/>
      <c r="E203" s="8"/>
      <c r="F203" s="8"/>
      <c r="G203" s="8"/>
      <c r="H203" s="8"/>
      <c r="I203" s="8"/>
      <c r="J203" s="9"/>
    </row>
    <row r="204" spans="3:10" ht="15" thickBot="1" x14ac:dyDescent="0.25">
      <c r="C204" s="10"/>
      <c r="D204" s="11"/>
      <c r="E204" s="11"/>
      <c r="F204" s="11"/>
      <c r="G204" s="11"/>
      <c r="H204" s="11"/>
      <c r="I204" s="11"/>
      <c r="J204" s="12"/>
    </row>
    <row r="208" spans="3:10" ht="15" thickBot="1" x14ac:dyDescent="0.25"/>
    <row r="209" spans="3:30" ht="15" thickBot="1" x14ac:dyDescent="0.25">
      <c r="C209" s="3" t="s">
        <v>24</v>
      </c>
      <c r="D209" s="4"/>
      <c r="E209" s="4"/>
      <c r="F209" s="4"/>
      <c r="G209" s="4"/>
      <c r="H209" s="4"/>
      <c r="I209" s="4"/>
      <c r="J209" s="5"/>
      <c r="M209" s="3" t="s">
        <v>39</v>
      </c>
      <c r="N209" s="4"/>
      <c r="O209" s="4"/>
      <c r="P209" s="4"/>
      <c r="Q209" s="4"/>
      <c r="R209" s="4"/>
      <c r="S209" s="4"/>
      <c r="T209" s="5"/>
      <c r="W209" s="3" t="s">
        <v>40</v>
      </c>
      <c r="X209" s="4"/>
      <c r="Y209" s="4"/>
      <c r="Z209" s="4"/>
      <c r="AA209" s="4"/>
      <c r="AB209" s="4"/>
      <c r="AC209" s="4"/>
      <c r="AD209" s="5"/>
    </row>
    <row r="210" spans="3:30" x14ac:dyDescent="0.2">
      <c r="C210" s="2" t="s">
        <v>0</v>
      </c>
      <c r="D210" s="2" t="s">
        <v>1</v>
      </c>
      <c r="E210" s="2" t="s">
        <v>2</v>
      </c>
      <c r="F210" s="2" t="s">
        <v>3</v>
      </c>
      <c r="G210" s="2" t="s">
        <v>4</v>
      </c>
      <c r="H210" s="2" t="s">
        <v>5</v>
      </c>
      <c r="I210" s="2" t="s">
        <v>6</v>
      </c>
      <c r="J210" s="2" t="s">
        <v>7</v>
      </c>
      <c r="M210" s="2" t="s">
        <v>0</v>
      </c>
      <c r="N210" s="2" t="s">
        <v>1</v>
      </c>
      <c r="O210" s="2" t="s">
        <v>2</v>
      </c>
      <c r="P210" s="2" t="s">
        <v>3</v>
      </c>
      <c r="Q210" s="2" t="s">
        <v>4</v>
      </c>
      <c r="R210" s="2" t="s">
        <v>5</v>
      </c>
      <c r="S210" s="2" t="s">
        <v>6</v>
      </c>
      <c r="T210" s="2" t="s">
        <v>7</v>
      </c>
      <c r="W210" s="2" t="s">
        <v>0</v>
      </c>
      <c r="X210" s="2" t="s">
        <v>1</v>
      </c>
      <c r="Y210" s="2" t="s">
        <v>2</v>
      </c>
      <c r="Z210" s="2" t="s">
        <v>3</v>
      </c>
      <c r="AA210" s="2" t="s">
        <v>4</v>
      </c>
      <c r="AB210" s="2" t="s">
        <v>5</v>
      </c>
      <c r="AC210" s="2" t="s">
        <v>6</v>
      </c>
      <c r="AD210" s="2" t="s">
        <v>7</v>
      </c>
    </row>
    <row r="211" spans="3:30" x14ac:dyDescent="0.2">
      <c r="C211" s="1" t="s">
        <v>1</v>
      </c>
      <c r="D211" s="1">
        <v>96.524439102564102</v>
      </c>
      <c r="E211" s="1"/>
      <c r="F211" s="1"/>
      <c r="G211" s="1"/>
      <c r="H211" s="1"/>
      <c r="I211" s="1"/>
      <c r="J211" s="1"/>
      <c r="M211" s="1" t="s">
        <v>1</v>
      </c>
      <c r="N211" s="1">
        <v>96.794871794871796</v>
      </c>
      <c r="O211" s="1"/>
      <c r="P211" s="1"/>
      <c r="Q211" s="1"/>
      <c r="R211" s="1"/>
      <c r="S211" s="1"/>
      <c r="T211" s="1"/>
      <c r="W211" s="1" t="s">
        <v>1</v>
      </c>
      <c r="X211" s="1">
        <v>96.624599358974294</v>
      </c>
      <c r="Y211" s="1"/>
      <c r="Z211" s="1"/>
      <c r="AA211" s="1"/>
      <c r="AB211" s="1"/>
      <c r="AC211" s="1"/>
      <c r="AD211" s="1"/>
    </row>
    <row r="212" spans="3:30" x14ac:dyDescent="0.2">
      <c r="C212" s="1" t="s">
        <v>2</v>
      </c>
      <c r="D212" s="1">
        <v>94.941907051282001</v>
      </c>
      <c r="E212" s="1">
        <v>85.266426282051199</v>
      </c>
      <c r="F212" s="1"/>
      <c r="G212" s="1"/>
      <c r="H212" s="1"/>
      <c r="I212" s="1"/>
      <c r="J212" s="1"/>
      <c r="M212" s="1" t="s">
        <v>2</v>
      </c>
      <c r="N212" s="1">
        <v>95.883413461538396</v>
      </c>
      <c r="O212" s="1">
        <v>85.917467948717899</v>
      </c>
      <c r="P212" s="1"/>
      <c r="Q212" s="1"/>
      <c r="R212" s="1"/>
      <c r="S212" s="1"/>
      <c r="T212" s="1"/>
      <c r="W212" s="1" t="s">
        <v>2</v>
      </c>
      <c r="X212" s="1">
        <v>96.153846153846104</v>
      </c>
      <c r="Y212" s="1">
        <v>86.478365384615302</v>
      </c>
      <c r="Z212" s="1"/>
      <c r="AA212" s="1"/>
      <c r="AB212" s="1"/>
      <c r="AC212" s="1"/>
      <c r="AD212" s="1"/>
    </row>
    <row r="213" spans="3:30" x14ac:dyDescent="0.2">
      <c r="C213" s="1" t="s">
        <v>3</v>
      </c>
      <c r="D213" s="1">
        <v>93.820112179487097</v>
      </c>
      <c r="E213" s="1">
        <v>84.254807692307693</v>
      </c>
      <c r="F213" s="1">
        <v>95.812747035573096</v>
      </c>
      <c r="H213" s="1"/>
      <c r="I213" s="1"/>
      <c r="J213" s="1"/>
      <c r="M213" s="1" t="s">
        <v>3</v>
      </c>
      <c r="N213" s="1">
        <v>95.252403846153797</v>
      </c>
      <c r="O213" s="1">
        <v>85.637019230769198</v>
      </c>
      <c r="P213" s="1">
        <v>96.689723320158095</v>
      </c>
      <c r="R213" s="1"/>
      <c r="S213" s="1"/>
      <c r="T213" s="1"/>
      <c r="W213" s="1" t="s">
        <v>3</v>
      </c>
      <c r="X213" s="1">
        <v>95.913461538461505</v>
      </c>
      <c r="Y213" s="1">
        <v>86.177884615384599</v>
      </c>
      <c r="Z213" s="1">
        <v>96.541501976284493</v>
      </c>
      <c r="AB213" s="1"/>
      <c r="AC213" s="1"/>
      <c r="AD213" s="1"/>
    </row>
    <row r="214" spans="3:30" x14ac:dyDescent="0.2">
      <c r="C214" s="1" t="s">
        <v>4</v>
      </c>
      <c r="D214" s="1">
        <v>92.748397435897402</v>
      </c>
      <c r="E214" s="1">
        <v>81.921073717948701</v>
      </c>
      <c r="F214" s="1">
        <v>95.652173913043399</v>
      </c>
      <c r="G214" s="1">
        <v>77.105614973262007</v>
      </c>
      <c r="H214" s="1"/>
      <c r="I214" s="1"/>
      <c r="J214" s="1"/>
      <c r="M214" s="1" t="s">
        <v>4</v>
      </c>
      <c r="N214" s="1">
        <v>94.340945512820497</v>
      </c>
      <c r="O214" s="1">
        <v>83.954326923076906</v>
      </c>
      <c r="P214" s="1">
        <v>95.615118577075094</v>
      </c>
      <c r="Q214" s="1">
        <v>79.328208556149704</v>
      </c>
      <c r="R214" s="1"/>
      <c r="S214" s="1"/>
      <c r="T214" s="1"/>
      <c r="W214" s="1" t="s">
        <v>4</v>
      </c>
      <c r="X214" s="1">
        <v>94.901842948717899</v>
      </c>
      <c r="Y214" s="1">
        <v>83.974358974358907</v>
      </c>
      <c r="Z214" s="1">
        <v>95.973320158102695</v>
      </c>
      <c r="AA214" s="1">
        <v>78.058155080213893</v>
      </c>
      <c r="AB214" s="1"/>
      <c r="AC214" s="1"/>
      <c r="AD214" s="1"/>
    </row>
    <row r="215" spans="3:30" x14ac:dyDescent="0.2">
      <c r="C215" s="1" t="s">
        <v>5</v>
      </c>
      <c r="D215" s="1">
        <v>93.780048076922995</v>
      </c>
      <c r="E215" s="1">
        <v>81.540464743589695</v>
      </c>
      <c r="F215">
        <v>94.664031620553303</v>
      </c>
      <c r="G215" s="1">
        <v>75.451203208556095</v>
      </c>
      <c r="H215" s="1">
        <v>83.774038461538396</v>
      </c>
      <c r="I215" s="1"/>
      <c r="J215" s="1"/>
      <c r="M215" s="1" t="s">
        <v>5</v>
      </c>
      <c r="N215" s="1">
        <v>94.491185897435898</v>
      </c>
      <c r="O215" s="1">
        <v>83.092948717948701</v>
      </c>
      <c r="P215">
        <v>94.503458498023704</v>
      </c>
      <c r="Q215" s="1">
        <v>76.353609625668398</v>
      </c>
      <c r="R215" s="1">
        <v>85.226362179487097</v>
      </c>
      <c r="S215" s="1"/>
      <c r="T215" s="1"/>
      <c r="W215" s="1" t="s">
        <v>5</v>
      </c>
      <c r="X215" s="1">
        <v>94.801682692307693</v>
      </c>
      <c r="Y215" s="1">
        <v>83.343349358974294</v>
      </c>
      <c r="Z215">
        <v>95.664525691699595</v>
      </c>
      <c r="AA215" s="1">
        <v>75.167112299465202</v>
      </c>
      <c r="AB215" s="1">
        <v>85.056089743589695</v>
      </c>
      <c r="AC215" s="1"/>
      <c r="AD215" s="1"/>
    </row>
    <row r="216" spans="3:30" x14ac:dyDescent="0.2">
      <c r="C216" s="1" t="s">
        <v>6</v>
      </c>
      <c r="D216" s="1">
        <v>93.038862179487097</v>
      </c>
      <c r="E216" s="1">
        <v>80.288461538461505</v>
      </c>
      <c r="F216" s="1">
        <v>93.095355731225297</v>
      </c>
      <c r="G216" s="1">
        <v>74.465240641711205</v>
      </c>
      <c r="H216" s="1">
        <v>83.203125</v>
      </c>
      <c r="I216" s="1">
        <v>92.346938775510196</v>
      </c>
      <c r="J216" s="1"/>
      <c r="M216" s="1" t="s">
        <v>6</v>
      </c>
      <c r="N216" s="1">
        <v>93.459535256410206</v>
      </c>
      <c r="O216" s="1">
        <v>81.951121794871796</v>
      </c>
      <c r="P216" s="1">
        <v>92.243083003952506</v>
      </c>
      <c r="Q216" s="1">
        <v>75.150401069518693</v>
      </c>
      <c r="R216" s="1">
        <v>84.685496794871796</v>
      </c>
      <c r="S216" s="1">
        <v>90.784438775510196</v>
      </c>
      <c r="T216" s="1"/>
      <c r="W216" s="1" t="s">
        <v>6</v>
      </c>
      <c r="X216" s="1">
        <v>94.220753205128204</v>
      </c>
      <c r="Y216" s="1">
        <v>82.171474358974294</v>
      </c>
      <c r="Z216" s="1">
        <v>94.7751976284585</v>
      </c>
      <c r="AA216" s="1">
        <v>73.328877005347593</v>
      </c>
      <c r="AB216" s="1">
        <v>84.425080128205096</v>
      </c>
      <c r="AC216" s="1">
        <v>91.645408163265301</v>
      </c>
      <c r="AD216" s="1"/>
    </row>
    <row r="217" spans="3:30" x14ac:dyDescent="0.2">
      <c r="C217" s="1" t="s">
        <v>7</v>
      </c>
      <c r="D217" s="1">
        <v>92.327724358974294</v>
      </c>
      <c r="E217" s="1">
        <v>80.348557692307693</v>
      </c>
      <c r="F217" s="1">
        <v>93.070652173913004</v>
      </c>
      <c r="G217" s="1">
        <v>74.231283422459896</v>
      </c>
      <c r="H217" s="1">
        <v>83.353365384615302</v>
      </c>
      <c r="I217" s="1">
        <v>92.235331632653001</v>
      </c>
      <c r="J217" s="1">
        <v>49.4791666666666</v>
      </c>
      <c r="M217" s="1" t="s">
        <v>7</v>
      </c>
      <c r="N217" s="1">
        <v>94.080528846153797</v>
      </c>
      <c r="O217" s="1">
        <v>82.171474358974294</v>
      </c>
      <c r="P217" s="1">
        <v>91.983695652173907</v>
      </c>
      <c r="Q217" s="1">
        <v>75.250668449197804</v>
      </c>
      <c r="R217" s="1">
        <v>84.715544871794805</v>
      </c>
      <c r="S217" s="1">
        <v>90.832270408163197</v>
      </c>
      <c r="T217" s="1">
        <v>58.6805555555555</v>
      </c>
      <c r="W217" s="1" t="s">
        <v>7</v>
      </c>
      <c r="X217" s="1">
        <v>94.501201923076906</v>
      </c>
      <c r="Y217" s="1">
        <v>82.341746794871796</v>
      </c>
      <c r="Z217" s="1">
        <v>95.1333992094861</v>
      </c>
      <c r="AA217" s="1">
        <v>73.813502673796705</v>
      </c>
      <c r="AB217" s="1">
        <v>84.465144230769198</v>
      </c>
      <c r="AC217" s="1">
        <v>91.103316326530603</v>
      </c>
      <c r="AD217" s="1">
        <v>55.0347222222222</v>
      </c>
    </row>
    <row r="219" spans="3:30" ht="14.25" customHeight="1" x14ac:dyDescent="0.2">
      <c r="C219" t="s">
        <v>8</v>
      </c>
      <c r="D219">
        <f>AVERAGE(D217:J217)</f>
        <v>80.72086876165568</v>
      </c>
      <c r="M219" t="s">
        <v>8</v>
      </c>
      <c r="N219">
        <f>AVERAGE(N217:T217)</f>
        <v>82.530676877430466</v>
      </c>
      <c r="P219" s="6" t="s">
        <v>41</v>
      </c>
      <c r="Q219" s="6"/>
      <c r="R219" s="6"/>
      <c r="S219" s="6"/>
      <c r="T219" s="6"/>
      <c r="W219" t="s">
        <v>8</v>
      </c>
      <c r="X219">
        <f>AVERAGE(X217:AD217)</f>
        <v>82.341861911536199</v>
      </c>
      <c r="Z219" s="6" t="s">
        <v>38</v>
      </c>
      <c r="AA219" s="6"/>
      <c r="AB219" s="6"/>
      <c r="AC219" s="6"/>
      <c r="AD219" s="6"/>
    </row>
    <row r="220" spans="3:30" x14ac:dyDescent="0.2">
      <c r="C220" t="s">
        <v>9</v>
      </c>
      <c r="D220">
        <f>(SUM((D217-D211)+(E217-E212)+(F217-F213)+(G217-G214)+(H217-H215)+(I217-I216)))/6</f>
        <v>-2.5438816609293013</v>
      </c>
      <c r="M220" t="s">
        <v>9</v>
      </c>
      <c r="N220">
        <f>(SUM((N217-N211)+(O217-O212)+(P217-P213)+(Q217-Q214)+(R217-R215)+(S217-S216)))/6</f>
        <v>-2.6178149980728307</v>
      </c>
      <c r="P220" s="6"/>
      <c r="Q220" s="6"/>
      <c r="R220" s="6"/>
      <c r="S220" s="6"/>
      <c r="T220" s="6"/>
      <c r="W220" t="s">
        <v>9</v>
      </c>
      <c r="X220">
        <f>(SUM((X217-X211)+(Y217-Y212)+(Z217-Z213)+(AA217-AA214)+(AB217-AB215)+(AC217-AC216)))/6</f>
        <v>-2.1743014247352783</v>
      </c>
      <c r="Z220" s="6"/>
      <c r="AA220" s="6"/>
      <c r="AB220" s="6"/>
      <c r="AC220" s="6"/>
      <c r="AD220" s="6"/>
    </row>
    <row r="221" spans="3:30" x14ac:dyDescent="0.2">
      <c r="C221" t="s">
        <v>10</v>
      </c>
      <c r="D221">
        <f>SUM((MAX(D211:D217)-D217)+(MAX(E212:E217)-E217)+(MAX(F213:F217)-F217)+(MAX(G214:G217)-G217)+(MAX(H215:H217)-H217)+(MAX(I216:I217)-I217))/6</f>
        <v>2.5438816609293013</v>
      </c>
      <c r="M221" t="s">
        <v>10</v>
      </c>
      <c r="N221">
        <f>SUM((MAX(N211:N217)-N217)+(MAX(O212:O217)-O217)+(MAX(P213:P217)-P217)+(MAX(Q214:Q217)-Q217)+(MAX(R215:R217)-R217)+(MAX(S216:S217)-S217))/6</f>
        <v>2.6257869368483306</v>
      </c>
      <c r="P221" s="6"/>
      <c r="Q221" s="6"/>
      <c r="R221" s="6"/>
      <c r="S221" s="6"/>
      <c r="T221" s="6"/>
      <c r="W221" t="s">
        <v>10</v>
      </c>
      <c r="X221">
        <f>SUM((MAX(X211:X217)-X217)+(MAX(Y212:Y217)-Y217)+(MAX(Z213:Z217)-Z217)+(MAX(AA214:AA217)-AA217)+(MAX(AB215:AB217)-AB217)+(MAX(AC216:AC217)-AC217))/6</f>
        <v>2.1743014247352783</v>
      </c>
      <c r="Z221" s="6"/>
      <c r="AA221" s="6"/>
      <c r="AB221" s="6"/>
      <c r="AC221" s="6"/>
      <c r="AD221" s="6"/>
    </row>
    <row r="222" spans="3:30" x14ac:dyDescent="0.2">
      <c r="P222" s="6"/>
      <c r="Q222" s="6"/>
      <c r="R222" s="6"/>
      <c r="S222" s="6"/>
      <c r="T222" s="6"/>
      <c r="Z222" s="6"/>
      <c r="AA222" s="6"/>
      <c r="AB222" s="6"/>
      <c r="AC222" s="6"/>
      <c r="AD222" s="6"/>
    </row>
    <row r="223" spans="3:30" x14ac:dyDescent="0.2">
      <c r="P223" s="14"/>
      <c r="Q223" s="14"/>
      <c r="R223" s="14"/>
      <c r="S223" s="14"/>
      <c r="T223" s="14"/>
    </row>
    <row r="225" spans="3:20" ht="15" thickBot="1" x14ac:dyDescent="0.25"/>
    <row r="226" spans="3:20" ht="15" thickBot="1" x14ac:dyDescent="0.25">
      <c r="C226" s="3" t="s">
        <v>25</v>
      </c>
      <c r="D226" s="4"/>
      <c r="E226" s="4"/>
      <c r="F226" s="4"/>
      <c r="G226" s="4"/>
      <c r="H226" s="4"/>
      <c r="I226" s="4"/>
      <c r="J226" s="5"/>
      <c r="M226" s="3" t="s">
        <v>42</v>
      </c>
      <c r="N226" s="4"/>
      <c r="O226" s="4"/>
      <c r="P226" s="4"/>
      <c r="Q226" s="4"/>
      <c r="R226" s="4"/>
      <c r="S226" s="4"/>
      <c r="T226" s="5"/>
    </row>
    <row r="227" spans="3:20" x14ac:dyDescent="0.2">
      <c r="C227" s="2" t="s">
        <v>0</v>
      </c>
      <c r="D227" s="2" t="s">
        <v>1</v>
      </c>
      <c r="E227" s="2" t="s">
        <v>2</v>
      </c>
      <c r="F227" s="2" t="s">
        <v>3</v>
      </c>
      <c r="G227" s="2" t="s">
        <v>4</v>
      </c>
      <c r="H227" s="2" t="s">
        <v>5</v>
      </c>
      <c r="I227" s="2" t="s">
        <v>6</v>
      </c>
      <c r="J227" s="2" t="s">
        <v>7</v>
      </c>
      <c r="M227" s="2" t="s">
        <v>0</v>
      </c>
      <c r="N227" s="2" t="s">
        <v>1</v>
      </c>
      <c r="O227" s="2" t="s">
        <v>2</v>
      </c>
      <c r="P227" s="2" t="s">
        <v>3</v>
      </c>
      <c r="Q227" s="2" t="s">
        <v>4</v>
      </c>
      <c r="R227" s="2" t="s">
        <v>5</v>
      </c>
      <c r="S227" s="2" t="s">
        <v>6</v>
      </c>
      <c r="T227" s="2" t="s">
        <v>7</v>
      </c>
    </row>
    <row r="228" spans="3:20" x14ac:dyDescent="0.2">
      <c r="C228" s="1" t="s">
        <v>1</v>
      </c>
      <c r="D228" s="1">
        <v>96.3541666666666</v>
      </c>
      <c r="E228" s="1"/>
      <c r="F228" s="1"/>
      <c r="G228" s="1"/>
      <c r="H228" s="1"/>
      <c r="I228" s="1"/>
      <c r="J228" s="1"/>
      <c r="M228" s="1" t="s">
        <v>1</v>
      </c>
      <c r="N228" s="1">
        <v>97.115384615384599</v>
      </c>
      <c r="O228" s="1"/>
      <c r="P228" s="1"/>
      <c r="Q228" s="1"/>
      <c r="R228" s="1"/>
      <c r="S228" s="1"/>
      <c r="T228" s="1"/>
    </row>
    <row r="229" spans="3:20" x14ac:dyDescent="0.2">
      <c r="C229" s="1" t="s">
        <v>2</v>
      </c>
      <c r="D229" s="1">
        <v>95.362580128205096</v>
      </c>
      <c r="E229" s="1">
        <v>85.2864583333333</v>
      </c>
      <c r="F229" s="1"/>
      <c r="G229" s="1"/>
      <c r="H229" s="1"/>
      <c r="I229" s="1"/>
      <c r="J229" s="1"/>
      <c r="M229" s="1" t="s">
        <v>2</v>
      </c>
      <c r="N229" s="1">
        <v>96.394230769230703</v>
      </c>
      <c r="O229" s="1">
        <v>85.917467948717899</v>
      </c>
      <c r="P229" s="1"/>
      <c r="Q229" s="1"/>
      <c r="R229" s="1"/>
      <c r="S229" s="1"/>
      <c r="T229" s="1"/>
    </row>
    <row r="230" spans="3:20" x14ac:dyDescent="0.2">
      <c r="C230" s="1" t="s">
        <v>3</v>
      </c>
      <c r="D230" s="1">
        <v>94.701522435897402</v>
      </c>
      <c r="E230" s="1">
        <v>85.016025641025607</v>
      </c>
      <c r="F230" s="1">
        <v>95.528656126482204</v>
      </c>
      <c r="H230" s="1"/>
      <c r="I230" s="1"/>
      <c r="J230" s="1"/>
      <c r="M230" s="1" t="s">
        <v>3</v>
      </c>
      <c r="N230" s="1">
        <v>95.633012820512803</v>
      </c>
      <c r="O230" s="1">
        <v>85.506810897435898</v>
      </c>
      <c r="P230" s="1">
        <v>95.825098814229193</v>
      </c>
      <c r="R230" s="1"/>
      <c r="S230" s="1"/>
      <c r="T230" s="1"/>
    </row>
    <row r="231" spans="3:20" x14ac:dyDescent="0.2">
      <c r="C231" s="1" t="s">
        <v>4</v>
      </c>
      <c r="D231" s="1">
        <v>94.020432692307693</v>
      </c>
      <c r="E231" s="1">
        <v>82.872596153846104</v>
      </c>
      <c r="F231" s="1">
        <v>94.898715415019694</v>
      </c>
      <c r="G231" s="1">
        <v>78.592914438502604</v>
      </c>
      <c r="H231" s="1"/>
      <c r="I231" s="1"/>
      <c r="J231" s="1"/>
      <c r="M231" s="1" t="s">
        <v>4</v>
      </c>
      <c r="N231" s="1">
        <v>94.991987179487097</v>
      </c>
      <c r="O231" s="1">
        <v>83.173076923076906</v>
      </c>
      <c r="P231" s="1">
        <v>94.503458498023704</v>
      </c>
      <c r="Q231" s="1">
        <v>79.261363636363598</v>
      </c>
      <c r="R231" s="1"/>
      <c r="S231" s="1"/>
      <c r="T231" s="1"/>
    </row>
    <row r="232" spans="3:20" x14ac:dyDescent="0.2">
      <c r="C232" s="1" t="s">
        <v>5</v>
      </c>
      <c r="D232" s="1">
        <v>93.930288461538396</v>
      </c>
      <c r="E232" s="1">
        <v>82.832532051282001</v>
      </c>
      <c r="F232">
        <v>94.342885375494006</v>
      </c>
      <c r="G232" s="1">
        <v>75.752005347593496</v>
      </c>
      <c r="H232" s="1">
        <v>83.864182692307693</v>
      </c>
      <c r="I232" s="1"/>
      <c r="J232" s="1"/>
      <c r="M232" s="1" t="s">
        <v>5</v>
      </c>
      <c r="N232" s="1">
        <v>95.172275641025607</v>
      </c>
      <c r="O232" s="1">
        <v>83.143028846153797</v>
      </c>
      <c r="P232">
        <v>94.330533596837896</v>
      </c>
      <c r="Q232" s="1">
        <v>75.768716577540104</v>
      </c>
      <c r="R232" s="1">
        <v>84.985977564102498</v>
      </c>
      <c r="S232" s="1"/>
      <c r="T232" s="1"/>
    </row>
    <row r="233" spans="3:20" x14ac:dyDescent="0.2">
      <c r="C233" s="1" t="s">
        <v>6</v>
      </c>
      <c r="D233" s="1">
        <v>93.339342948717899</v>
      </c>
      <c r="E233" s="1">
        <v>81.780849358974294</v>
      </c>
      <c r="F233" s="1">
        <v>91.6501976284585</v>
      </c>
      <c r="G233" s="1">
        <v>74.298128342245903</v>
      </c>
      <c r="H233" s="1">
        <v>83.042868589743506</v>
      </c>
      <c r="I233" s="1">
        <v>91.390306122448905</v>
      </c>
      <c r="J233" s="1"/>
      <c r="M233" s="1" t="s">
        <v>6</v>
      </c>
      <c r="N233" s="1">
        <v>94.370993589743506</v>
      </c>
      <c r="O233" s="1">
        <v>82.231570512820497</v>
      </c>
      <c r="P233" s="1">
        <v>94.071146245059296</v>
      </c>
      <c r="Q233" s="1">
        <v>74.899732620320805</v>
      </c>
      <c r="R233" s="1">
        <v>84.495192307692307</v>
      </c>
      <c r="S233" s="1">
        <v>92.346938775510196</v>
      </c>
      <c r="T233" s="1"/>
    </row>
    <row r="234" spans="3:20" x14ac:dyDescent="0.2">
      <c r="C234" s="1" t="s">
        <v>7</v>
      </c>
      <c r="D234" s="1">
        <v>93.760016025640994</v>
      </c>
      <c r="E234" s="1">
        <v>81.270032051282001</v>
      </c>
      <c r="F234" s="1">
        <v>92.465415019762801</v>
      </c>
      <c r="G234" s="1">
        <v>74.348262032085501</v>
      </c>
      <c r="H234" s="1">
        <v>82.972756410256395</v>
      </c>
      <c r="I234" s="1">
        <v>91.374362244897895</v>
      </c>
      <c r="J234" s="1">
        <v>42.7083333333333</v>
      </c>
      <c r="M234" s="1" t="s">
        <v>7</v>
      </c>
      <c r="N234" s="1">
        <v>94.521233974358907</v>
      </c>
      <c r="O234" s="1">
        <v>82.321714743589695</v>
      </c>
      <c r="P234" s="1">
        <v>94.429347826086897</v>
      </c>
      <c r="Q234" s="1">
        <v>74.933155080213893</v>
      </c>
      <c r="R234" s="1">
        <v>84.354967948717899</v>
      </c>
      <c r="S234" s="1">
        <v>92.362882653061206</v>
      </c>
      <c r="T234" s="1">
        <v>48.0902777777777</v>
      </c>
    </row>
    <row r="236" spans="3:20" x14ac:dyDescent="0.2">
      <c r="C236" t="s">
        <v>8</v>
      </c>
      <c r="D236">
        <f>AVERAGE(D234:J234)</f>
        <v>79.842739588179839</v>
      </c>
      <c r="M236" t="s">
        <v>8</v>
      </c>
      <c r="N236">
        <f>AVERAGE(N234:T234)</f>
        <v>81.57336857197231</v>
      </c>
    </row>
    <row r="237" spans="3:20" x14ac:dyDescent="0.2">
      <c r="C237" t="s">
        <v>9</v>
      </c>
      <c r="D237">
        <f>(SUM((D234-D228)+(E234-E229)+(F234-F230)+(G234-G231)+(H234-H232)+(I234-I233)))/6</f>
        <v>-2.4709734326359531</v>
      </c>
      <c r="M237" t="s">
        <v>9</v>
      </c>
      <c r="N237">
        <f>(SUM((N234-N228)+(O234-O229)+(P234-P230)+(Q234-Q231)+(R234-R232)+(S234-S233)))/6</f>
        <v>-2.0881548547132476</v>
      </c>
    </row>
    <row r="238" spans="3:20" x14ac:dyDescent="0.2">
      <c r="C238" t="s">
        <v>10</v>
      </c>
      <c r="D238">
        <f>SUM((MAX(D228:D234)-D234)+(MAX(E229:E234)-E234)+(MAX(F230:F234)-F234)+(MAX(G231:G234)-G234)+(MAX(H232:H234)-H234)+(MAX(I233:I234)-I234))/6</f>
        <v>2.4709734326359531</v>
      </c>
      <c r="M238" t="s">
        <v>10</v>
      </c>
      <c r="N238">
        <f>SUM((MAX(N228:N234)-N234)+(MAX(O229:O234)-O234)+(MAX(P230:P234)-P234)+(MAX(Q231:Q234)-Q234)+(MAX(R232:R234)-R234)+(MAX(S233:S234)-S234))/6</f>
        <v>2.0908121676384162</v>
      </c>
    </row>
    <row r="241" spans="3:30" ht="15" thickBot="1" x14ac:dyDescent="0.25"/>
    <row r="242" spans="3:30" ht="15" thickBot="1" x14ac:dyDescent="0.25">
      <c r="C242" s="3" t="s">
        <v>26</v>
      </c>
      <c r="D242" s="4"/>
      <c r="E242" s="4"/>
      <c r="F242" s="4"/>
      <c r="G242" s="4"/>
      <c r="H242" s="4"/>
      <c r="I242" s="4"/>
      <c r="J242" s="5"/>
      <c r="M242" s="3" t="s">
        <v>43</v>
      </c>
      <c r="N242" s="4"/>
      <c r="O242" s="4"/>
      <c r="P242" s="4"/>
      <c r="Q242" s="4"/>
      <c r="R242" s="4"/>
      <c r="S242" s="4"/>
      <c r="T242" s="5"/>
      <c r="W242" s="3" t="s">
        <v>44</v>
      </c>
      <c r="X242" s="4"/>
      <c r="Y242" s="4"/>
      <c r="Z242" s="4"/>
      <c r="AA242" s="4"/>
      <c r="AB242" s="4"/>
      <c r="AC242" s="4"/>
      <c r="AD242" s="5"/>
    </row>
    <row r="243" spans="3:30" x14ac:dyDescent="0.2">
      <c r="C243" s="2" t="s">
        <v>0</v>
      </c>
      <c r="D243" s="2" t="s">
        <v>1</v>
      </c>
      <c r="E243" s="2" t="s">
        <v>2</v>
      </c>
      <c r="F243" s="2" t="s">
        <v>3</v>
      </c>
      <c r="G243" s="2" t="s">
        <v>4</v>
      </c>
      <c r="H243" s="2" t="s">
        <v>5</v>
      </c>
      <c r="I243" s="2" t="s">
        <v>6</v>
      </c>
      <c r="J243" s="2" t="s">
        <v>7</v>
      </c>
      <c r="M243" s="2" t="s">
        <v>0</v>
      </c>
      <c r="N243" s="2" t="s">
        <v>1</v>
      </c>
      <c r="O243" s="2" t="s">
        <v>2</v>
      </c>
      <c r="P243" s="2" t="s">
        <v>3</v>
      </c>
      <c r="Q243" s="2" t="s">
        <v>4</v>
      </c>
      <c r="R243" s="2" t="s">
        <v>5</v>
      </c>
      <c r="S243" s="2" t="s">
        <v>6</v>
      </c>
      <c r="T243" s="2" t="s">
        <v>7</v>
      </c>
      <c r="W243" s="2" t="s">
        <v>0</v>
      </c>
      <c r="X243" s="2" t="s">
        <v>1</v>
      </c>
      <c r="Y243" s="2" t="s">
        <v>2</v>
      </c>
      <c r="Z243" s="2" t="s">
        <v>3</v>
      </c>
      <c r="AA243" s="2" t="s">
        <v>4</v>
      </c>
      <c r="AB243" s="2" t="s">
        <v>5</v>
      </c>
      <c r="AC243" s="2" t="s">
        <v>6</v>
      </c>
      <c r="AD243" s="2" t="s">
        <v>7</v>
      </c>
    </row>
    <row r="244" spans="3:30" x14ac:dyDescent="0.2">
      <c r="C244" s="1" t="s">
        <v>1</v>
      </c>
      <c r="D244" s="1">
        <v>96.644631410256395</v>
      </c>
      <c r="E244" s="1"/>
      <c r="F244" s="1"/>
      <c r="G244" s="1"/>
      <c r="H244" s="1"/>
      <c r="I244" s="1"/>
      <c r="J244" s="1"/>
      <c r="M244" s="1" t="s">
        <v>1</v>
      </c>
      <c r="N244" s="1">
        <v>97.095352564102498</v>
      </c>
      <c r="O244" s="1"/>
      <c r="P244" s="1"/>
      <c r="Q244" s="1"/>
      <c r="R244" s="1"/>
      <c r="S244" s="1"/>
      <c r="T244" s="1"/>
      <c r="W244" s="1" t="s">
        <v>1</v>
      </c>
      <c r="X244" s="1">
        <v>96.885016025640994</v>
      </c>
      <c r="Y244" s="1"/>
      <c r="Z244" s="1"/>
      <c r="AA244" s="1"/>
      <c r="AB244" s="1"/>
      <c r="AC244" s="1"/>
      <c r="AD244" s="1"/>
    </row>
    <row r="245" spans="3:30" x14ac:dyDescent="0.2">
      <c r="C245" s="1" t="s">
        <v>2</v>
      </c>
      <c r="D245" s="1">
        <v>96.284054487179404</v>
      </c>
      <c r="E245" s="1">
        <v>84.885817307692307</v>
      </c>
      <c r="F245" s="1"/>
      <c r="G245" s="1"/>
      <c r="H245" s="1"/>
      <c r="I245" s="1"/>
      <c r="J245" s="1"/>
      <c r="M245" s="1" t="s">
        <v>2</v>
      </c>
      <c r="N245" s="1">
        <v>96.664663461538396</v>
      </c>
      <c r="O245" s="1">
        <v>85.707131410256395</v>
      </c>
      <c r="P245" s="1"/>
      <c r="Q245" s="1"/>
      <c r="R245" s="1"/>
      <c r="S245" s="1"/>
      <c r="T245" s="1"/>
      <c r="W245" s="1" t="s">
        <v>2</v>
      </c>
      <c r="X245" s="1">
        <v>96.684695512820497</v>
      </c>
      <c r="Y245" s="1">
        <v>87.089342948717899</v>
      </c>
      <c r="Z245" s="1"/>
      <c r="AA245" s="1"/>
      <c r="AB245" s="1"/>
      <c r="AC245" s="1"/>
      <c r="AD245" s="1"/>
    </row>
    <row r="246" spans="3:30" x14ac:dyDescent="0.2">
      <c r="C246" s="1" t="s">
        <v>3</v>
      </c>
      <c r="D246" s="1">
        <v>95.522836538461505</v>
      </c>
      <c r="E246" s="1">
        <v>83.533653846153797</v>
      </c>
      <c r="F246" s="1">
        <v>93.540019762845802</v>
      </c>
      <c r="H246" s="1"/>
      <c r="I246" s="1"/>
      <c r="J246" s="1"/>
      <c r="M246" s="1" t="s">
        <v>3</v>
      </c>
      <c r="N246" s="1">
        <v>96.264022435897402</v>
      </c>
      <c r="O246" s="1">
        <v>85.216346153846104</v>
      </c>
      <c r="P246" s="1">
        <v>96.245059288537504</v>
      </c>
      <c r="R246" s="1"/>
      <c r="S246" s="1"/>
      <c r="T246" s="1"/>
      <c r="W246" s="1" t="s">
        <v>3</v>
      </c>
      <c r="X246" s="1">
        <v>95.983573717948701</v>
      </c>
      <c r="Y246" s="1">
        <v>86.5885416666666</v>
      </c>
      <c r="Z246" s="1">
        <v>97.035573122529598</v>
      </c>
      <c r="AB246" s="1"/>
      <c r="AC246" s="1"/>
      <c r="AD246" s="1"/>
    </row>
    <row r="247" spans="3:30" x14ac:dyDescent="0.2">
      <c r="C247" s="1" t="s">
        <v>4</v>
      </c>
      <c r="D247" s="1">
        <v>94.4010416666666</v>
      </c>
      <c r="E247">
        <v>81.400240384615302</v>
      </c>
      <c r="F247" s="1">
        <v>92.601284584980206</v>
      </c>
      <c r="G247" s="1">
        <v>78.241978609625605</v>
      </c>
      <c r="H247" s="1"/>
      <c r="I247" s="1"/>
      <c r="J247" s="1"/>
      <c r="M247" s="1" t="s">
        <v>4</v>
      </c>
      <c r="N247" s="1">
        <v>95.092147435897402</v>
      </c>
      <c r="O247">
        <v>83.183092948717899</v>
      </c>
      <c r="P247" s="1">
        <v>96.208003952569101</v>
      </c>
      <c r="Q247" s="1">
        <v>78.542780748663105</v>
      </c>
      <c r="R247" s="1"/>
      <c r="S247" s="1"/>
      <c r="T247" s="1"/>
      <c r="W247" s="1" t="s">
        <v>4</v>
      </c>
      <c r="X247" s="1">
        <v>93.970352564102498</v>
      </c>
      <c r="Y247">
        <v>82.822516025640994</v>
      </c>
      <c r="Z247" s="1">
        <v>95.503952569169897</v>
      </c>
      <c r="AA247" s="1">
        <v>78.659759358288696</v>
      </c>
      <c r="AB247" s="1"/>
      <c r="AC247" s="1"/>
      <c r="AD247" s="1"/>
    </row>
    <row r="248" spans="3:30" x14ac:dyDescent="0.2">
      <c r="C248" s="1" t="s">
        <v>5</v>
      </c>
      <c r="D248" s="1">
        <v>94.931891025640994</v>
      </c>
      <c r="E248" s="1">
        <v>81.039663461538396</v>
      </c>
      <c r="F248">
        <v>92.440711462450594</v>
      </c>
      <c r="G248" s="1">
        <v>76.403743315507995</v>
      </c>
      <c r="H248" s="1">
        <v>83.944310897435898</v>
      </c>
      <c r="I248" s="1"/>
      <c r="J248" s="1"/>
      <c r="M248" s="1" t="s">
        <v>5</v>
      </c>
      <c r="N248" s="1">
        <v>95.092147435897402</v>
      </c>
      <c r="O248" s="1">
        <v>83.193108974358907</v>
      </c>
      <c r="P248">
        <v>95.281620553359602</v>
      </c>
      <c r="Q248" s="1">
        <v>75.300802139037401</v>
      </c>
      <c r="R248" s="1">
        <v>85.476762820512803</v>
      </c>
      <c r="S248" s="1"/>
      <c r="T248" s="1"/>
      <c r="W248" s="1" t="s">
        <v>5</v>
      </c>
      <c r="X248" s="1">
        <v>93.549679487179404</v>
      </c>
      <c r="Y248" s="1">
        <v>83.173076923076906</v>
      </c>
      <c r="Z248">
        <v>94.4169960474308</v>
      </c>
      <c r="AA248" s="1">
        <v>75.016711229946495</v>
      </c>
      <c r="AB248" s="1">
        <v>85.346554487179404</v>
      </c>
      <c r="AC248" s="1"/>
      <c r="AD248" s="1"/>
    </row>
    <row r="249" spans="3:30" x14ac:dyDescent="0.2">
      <c r="C249" s="1" t="s">
        <v>6</v>
      </c>
      <c r="D249" s="1">
        <v>94.290865384615302</v>
      </c>
      <c r="E249" s="1">
        <v>79.887820512820497</v>
      </c>
      <c r="F249" s="1">
        <v>91.773715415019694</v>
      </c>
      <c r="G249" s="1">
        <v>75.484625668449198</v>
      </c>
      <c r="H249" s="1">
        <v>83.283253205128204</v>
      </c>
      <c r="I249" s="1">
        <v>92.267219387755105</v>
      </c>
      <c r="J249" s="1"/>
      <c r="M249" s="1" t="s">
        <v>6</v>
      </c>
      <c r="N249" s="1">
        <v>94.561298076922995</v>
      </c>
      <c r="O249" s="1">
        <v>82.281650641025607</v>
      </c>
      <c r="P249" s="1">
        <v>94.157608695652101</v>
      </c>
      <c r="Q249" s="1">
        <v>74.030748663101605</v>
      </c>
      <c r="R249" s="1">
        <v>84.765625</v>
      </c>
      <c r="S249" s="1">
        <v>92.171556122448905</v>
      </c>
      <c r="T249" s="1"/>
      <c r="W249" s="1" t="s">
        <v>6</v>
      </c>
      <c r="X249" s="1">
        <v>92.267628205128204</v>
      </c>
      <c r="Y249" s="1">
        <v>81.891025641025607</v>
      </c>
      <c r="Z249" s="1">
        <v>91.934288537549406</v>
      </c>
      <c r="AA249" s="1">
        <v>74.247994652406405</v>
      </c>
      <c r="AB249" s="1">
        <v>84.545272435897402</v>
      </c>
      <c r="AC249" s="1">
        <v>92.570153061224403</v>
      </c>
      <c r="AD249" s="1"/>
    </row>
    <row r="250" spans="3:30" x14ac:dyDescent="0.2">
      <c r="C250" s="1" t="s">
        <v>7</v>
      </c>
      <c r="D250" s="1">
        <v>94.340945512820497</v>
      </c>
      <c r="E250" s="1">
        <v>79.8177083333333</v>
      </c>
      <c r="F250" s="1">
        <v>92.774209486166001</v>
      </c>
      <c r="G250" s="1">
        <v>75.668449197860895</v>
      </c>
      <c r="H250" s="1">
        <v>82.982772435897402</v>
      </c>
      <c r="I250" s="1">
        <v>91.916454081632594</v>
      </c>
      <c r="J250" s="1">
        <v>50.3472222222222</v>
      </c>
      <c r="M250" s="1" t="s">
        <v>7</v>
      </c>
      <c r="N250" s="1">
        <v>94.641426282051199</v>
      </c>
      <c r="O250" s="1">
        <v>82.421875</v>
      </c>
      <c r="P250" s="1">
        <v>94.034090909090907</v>
      </c>
      <c r="Q250" s="1">
        <v>74.916443850267299</v>
      </c>
      <c r="R250" s="1">
        <v>84.985977564102498</v>
      </c>
      <c r="S250" s="1">
        <v>91.868622448979593</v>
      </c>
      <c r="T250" s="1">
        <v>60.9375</v>
      </c>
      <c r="W250" s="1" t="s">
        <v>7</v>
      </c>
      <c r="X250" s="1">
        <v>92.397836538461505</v>
      </c>
      <c r="Y250" s="1">
        <v>82.201522435897402</v>
      </c>
      <c r="Z250" s="1">
        <v>92.255434782608603</v>
      </c>
      <c r="AA250" s="1">
        <v>74.548796791443806</v>
      </c>
      <c r="AB250" s="1">
        <v>84.8958333333333</v>
      </c>
      <c r="AC250" s="1">
        <v>92.522321428571402</v>
      </c>
      <c r="AD250" s="1">
        <v>42.7083333333333</v>
      </c>
    </row>
    <row r="252" spans="3:30" ht="14.25" customHeight="1" x14ac:dyDescent="0.2">
      <c r="C252" t="s">
        <v>8</v>
      </c>
      <c r="D252">
        <f>AVERAGE(D250:J250)</f>
        <v>81.121108752847562</v>
      </c>
      <c r="M252" t="s">
        <v>8</v>
      </c>
      <c r="N252">
        <f>AVERAGE(N250:T250)</f>
        <v>83.400848007784504</v>
      </c>
      <c r="P252" s="6" t="s">
        <v>37</v>
      </c>
      <c r="Q252" s="6"/>
      <c r="R252" s="6"/>
      <c r="S252" s="6"/>
      <c r="T252" s="6"/>
      <c r="W252" t="s">
        <v>8</v>
      </c>
      <c r="X252">
        <f>AVERAGE(X250:AD250)</f>
        <v>80.21858266337847</v>
      </c>
      <c r="Z252" s="6" t="s">
        <v>37</v>
      </c>
      <c r="AA252" s="6"/>
      <c r="AB252" s="6"/>
      <c r="AC252" s="6"/>
      <c r="AD252" s="6"/>
    </row>
    <row r="253" spans="3:30" x14ac:dyDescent="0.2">
      <c r="C253" t="s">
        <v>9</v>
      </c>
      <c r="D253">
        <f>(SUM((D250-D244)+(E250-E245)+(F250-F246)+(G250-G247)+(H250-H248)+(I250-I249)))/6</f>
        <v>-2.0039063879834038</v>
      </c>
      <c r="M253" t="s">
        <v>9</v>
      </c>
      <c r="N253">
        <f>(SUM((N250-N244)+(O250-O245)+(P250-P246)+(Q250-Q247)+(R250-R248)+(S250-S249)))/6</f>
        <v>-2.0617011500049522</v>
      </c>
      <c r="P253" s="6"/>
      <c r="Q253" s="6"/>
      <c r="R253" s="6"/>
      <c r="S253" s="6"/>
      <c r="T253" s="6"/>
      <c r="W253" t="s">
        <v>9</v>
      </c>
      <c r="X253">
        <f>(SUM((X250-X244)+(Y250-Y245)+(Z250-Z246)+(AA250-AA247)+(AB250-AB248)+(AC250-AC249)))/6</f>
        <v>-3.1274422822108292</v>
      </c>
      <c r="Z253" s="6"/>
      <c r="AA253" s="6"/>
      <c r="AB253" s="6"/>
      <c r="AC253" s="6"/>
      <c r="AD253" s="6"/>
    </row>
    <row r="254" spans="3:30" x14ac:dyDescent="0.2">
      <c r="C254" t="s">
        <v>10</v>
      </c>
      <c r="D254">
        <f>SUM((MAX(D244:D250)-D250)+(MAX(E245:E250)-E250)+(MAX(F246:F250)-F250)+(MAX(G247:G250)-G250)+(MAX(H248:H250)-H250)+(MAX(I249:I250)-I250))/6</f>
        <v>2.0039063879834038</v>
      </c>
      <c r="M254" t="s">
        <v>10</v>
      </c>
      <c r="N254">
        <f>SUM((MAX(N244:N250)-N250)+(MAX(O245:O250)-O250)+(MAX(P246:P250)-P250)+(MAX(Q247:Q250)-Q250)+(MAX(R248:R250)-R250)+(MAX(S249:S250)-S250))/6</f>
        <v>2.0617011500049522</v>
      </c>
      <c r="P254" s="6"/>
      <c r="Q254" s="6"/>
      <c r="R254" s="6"/>
      <c r="S254" s="6"/>
      <c r="T254" s="6"/>
      <c r="W254" t="s">
        <v>10</v>
      </c>
      <c r="X254">
        <f>SUM((MAX(X244:X250)-X250)+(MAX(Y245:Y250)-Y250)+(MAX(Z246:Z250)-Z250)+(MAX(AA247:AA250)-AA250)+(MAX(AB248:AB250)-AB250)+(MAX(AC249:AC250)-AC250))/6</f>
        <v>3.1274422822108292</v>
      </c>
      <c r="Z254" s="6"/>
      <c r="AA254" s="6"/>
      <c r="AB254" s="6"/>
      <c r="AC254" s="6"/>
      <c r="AD254" s="6"/>
    </row>
    <row r="255" spans="3:30" x14ac:dyDescent="0.2">
      <c r="P255" s="6"/>
      <c r="Q255" s="6"/>
      <c r="R255" s="6"/>
      <c r="S255" s="6"/>
      <c r="T255" s="6"/>
      <c r="Z255" s="6"/>
      <c r="AA255" s="6"/>
      <c r="AB255" s="6"/>
      <c r="AC255" s="6"/>
      <c r="AD255" s="6"/>
    </row>
    <row r="267" spans="3:10" ht="15" thickBot="1" x14ac:dyDescent="0.25"/>
    <row r="268" spans="3:10" ht="15" thickBot="1" x14ac:dyDescent="0.25">
      <c r="C268" s="3" t="s">
        <v>27</v>
      </c>
      <c r="D268" s="4"/>
      <c r="E268" s="4"/>
      <c r="F268" s="4"/>
      <c r="G268" s="4"/>
      <c r="H268" s="4"/>
      <c r="I268" s="4"/>
      <c r="J268" s="5"/>
    </row>
    <row r="269" spans="3:10" x14ac:dyDescent="0.2">
      <c r="C269" s="2" t="s">
        <v>0</v>
      </c>
      <c r="D269" s="2" t="s">
        <v>1</v>
      </c>
      <c r="E269" s="2" t="s">
        <v>2</v>
      </c>
      <c r="F269" s="2" t="s">
        <v>3</v>
      </c>
      <c r="G269" s="2" t="s">
        <v>4</v>
      </c>
      <c r="H269" s="2" t="s">
        <v>5</v>
      </c>
      <c r="I269" s="2" t="s">
        <v>6</v>
      </c>
      <c r="J269" s="2" t="s">
        <v>7</v>
      </c>
    </row>
    <row r="270" spans="3:10" x14ac:dyDescent="0.2">
      <c r="C270" s="1" t="s">
        <v>1</v>
      </c>
      <c r="D270" s="1">
        <v>93.75</v>
      </c>
      <c r="E270" s="1"/>
      <c r="F270" s="1"/>
      <c r="G270" s="1"/>
      <c r="H270" s="1"/>
      <c r="I270" s="1"/>
      <c r="J270" s="1"/>
    </row>
    <row r="271" spans="3:10" x14ac:dyDescent="0.2">
      <c r="C271" s="1" t="s">
        <v>2</v>
      </c>
      <c r="D271" s="1">
        <v>89.5833333333333</v>
      </c>
      <c r="E271" s="1">
        <v>77.0833333333333</v>
      </c>
      <c r="F271" s="1"/>
      <c r="G271" s="1"/>
      <c r="H271" s="1"/>
      <c r="I271" s="1"/>
      <c r="J271" s="1"/>
    </row>
    <row r="272" spans="3:10" x14ac:dyDescent="0.2">
      <c r="C272" s="1" t="s">
        <v>3</v>
      </c>
      <c r="D272" s="1">
        <v>91.6666666666666</v>
      </c>
      <c r="E272" s="1">
        <v>78.125</v>
      </c>
      <c r="F272" s="1">
        <v>96.875</v>
      </c>
      <c r="G272" s="1"/>
      <c r="H272" s="1"/>
      <c r="I272" s="1"/>
      <c r="J272" s="1"/>
    </row>
    <row r="273" spans="3:10" x14ac:dyDescent="0.2">
      <c r="C273" s="1" t="s">
        <v>4</v>
      </c>
      <c r="D273" s="1">
        <v>88.5416666666666</v>
      </c>
      <c r="E273" s="1">
        <v>78.125</v>
      </c>
      <c r="F273" s="1">
        <v>93.75</v>
      </c>
      <c r="G273" s="1">
        <v>51.0416666666666</v>
      </c>
      <c r="H273" s="1"/>
      <c r="I273" s="1"/>
      <c r="J273" s="1"/>
    </row>
    <row r="274" spans="3:10" x14ac:dyDescent="0.2">
      <c r="C274" s="1" t="s">
        <v>5</v>
      </c>
      <c r="D274" s="1">
        <v>90.625</v>
      </c>
      <c r="E274" s="1">
        <v>77.0833333333333</v>
      </c>
      <c r="F274" s="1">
        <v>93.75</v>
      </c>
      <c r="G274" s="1">
        <v>53.125</v>
      </c>
      <c r="H274" s="1">
        <v>65.625</v>
      </c>
      <c r="I274" s="1"/>
      <c r="J274" s="1"/>
    </row>
    <row r="275" spans="3:10" x14ac:dyDescent="0.2">
      <c r="C275" s="1" t="s">
        <v>6</v>
      </c>
      <c r="D275" s="1">
        <v>91.6666666666666</v>
      </c>
      <c r="E275" s="1">
        <v>76.0416666666666</v>
      </c>
      <c r="F275" s="1">
        <v>93.75</v>
      </c>
      <c r="G275" s="1">
        <v>53.125</v>
      </c>
      <c r="H275" s="1">
        <v>63.5416666666666</v>
      </c>
      <c r="I275" s="1">
        <v>76.0416666666666</v>
      </c>
      <c r="J275" s="1"/>
    </row>
    <row r="276" spans="3:10" x14ac:dyDescent="0.2">
      <c r="C276" s="1" t="s">
        <v>7</v>
      </c>
      <c r="D276" s="1">
        <v>88.5416666666666</v>
      </c>
      <c r="E276" s="1">
        <v>80.2083333333333</v>
      </c>
      <c r="F276" s="1">
        <v>94.7916666666666</v>
      </c>
      <c r="G276" s="1">
        <v>48.9583333333333</v>
      </c>
      <c r="H276" s="1">
        <v>68.75</v>
      </c>
      <c r="I276" s="1">
        <v>78.125</v>
      </c>
      <c r="J276" s="1">
        <v>58.3333333333333</v>
      </c>
    </row>
    <row r="278" spans="3:10" x14ac:dyDescent="0.2">
      <c r="C278" t="s">
        <v>8</v>
      </c>
      <c r="D278">
        <f>AVERAGE(D276:J276)</f>
        <v>73.9583333333333</v>
      </c>
      <c r="F278" s="6" t="s">
        <v>33</v>
      </c>
      <c r="G278" s="13"/>
      <c r="H278" s="13"/>
      <c r="I278" s="13"/>
    </row>
    <row r="279" spans="3:10" x14ac:dyDescent="0.2">
      <c r="C279" t="s">
        <v>9</v>
      </c>
      <c r="D279">
        <f>(SUM((D276-D270)+(E276-E271)+(F276-F272)+(G276-G273)+(H276-H274)+(I276-I275)))/6</f>
        <v>-0.17361111111111663</v>
      </c>
      <c r="F279" s="13"/>
      <c r="G279" s="13"/>
      <c r="H279" s="13"/>
      <c r="I279" s="13"/>
    </row>
    <row r="280" spans="3:10" x14ac:dyDescent="0.2">
      <c r="C280" t="s">
        <v>10</v>
      </c>
      <c r="D280">
        <f>SUM((MAX(D270:D276)-D276)+(MAX(E271:E276)-E276)+(MAX(F272:F276)-F276)+(MAX(G273:G276)-G276)+(MAX(H274:H276)-H276)+(MAX(I275:I276)-I276))/6</f>
        <v>1.9097222222222499</v>
      </c>
      <c r="F280" s="13"/>
      <c r="G280" s="13"/>
      <c r="H280" s="13"/>
      <c r="I280" s="13"/>
    </row>
    <row r="286" spans="3:10" ht="15" thickBot="1" x14ac:dyDescent="0.25"/>
    <row r="287" spans="3:10" ht="15" thickBot="1" x14ac:dyDescent="0.25">
      <c r="C287" s="3" t="s">
        <v>28</v>
      </c>
      <c r="D287" s="4"/>
      <c r="E287" s="4"/>
      <c r="F287" s="4"/>
      <c r="G287" s="4"/>
      <c r="H287" s="4"/>
      <c r="I287" s="4"/>
      <c r="J287" s="5"/>
    </row>
    <row r="288" spans="3:10" x14ac:dyDescent="0.2">
      <c r="C288" s="2" t="s">
        <v>0</v>
      </c>
      <c r="D288" s="2" t="s">
        <v>1</v>
      </c>
      <c r="E288" s="2" t="s">
        <v>2</v>
      </c>
      <c r="F288" s="2" t="s">
        <v>3</v>
      </c>
      <c r="G288" s="2" t="s">
        <v>4</v>
      </c>
      <c r="H288" s="2" t="s">
        <v>5</v>
      </c>
      <c r="I288" s="2" t="s">
        <v>6</v>
      </c>
      <c r="J288" s="2" t="s">
        <v>7</v>
      </c>
    </row>
    <row r="289" spans="3:10" x14ac:dyDescent="0.2">
      <c r="C289" s="1" t="s">
        <v>1</v>
      </c>
      <c r="D289" s="1">
        <v>94.7916666666666</v>
      </c>
      <c r="E289" s="1"/>
      <c r="F289" s="1"/>
      <c r="G289" s="1"/>
      <c r="H289" s="1"/>
      <c r="I289" s="1"/>
      <c r="J289" s="1"/>
    </row>
    <row r="290" spans="3:10" x14ac:dyDescent="0.2">
      <c r="C290" s="1" t="s">
        <v>2</v>
      </c>
      <c r="D290" s="1">
        <v>91.6666666666666</v>
      </c>
      <c r="E290" s="1">
        <v>83.3333333333333</v>
      </c>
      <c r="F290" s="1"/>
      <c r="G290" s="1"/>
      <c r="H290" s="1"/>
      <c r="I290" s="1"/>
      <c r="J290" s="1"/>
    </row>
    <row r="291" spans="3:10" x14ac:dyDescent="0.2">
      <c r="C291" s="1" t="s">
        <v>3</v>
      </c>
      <c r="D291" s="1">
        <v>91.6666666666666</v>
      </c>
      <c r="E291" s="1">
        <v>82.2916666666666</v>
      </c>
      <c r="F291" s="1">
        <v>56.25</v>
      </c>
      <c r="G291" s="1"/>
      <c r="H291" s="1"/>
      <c r="I291" s="1"/>
      <c r="J291" s="1"/>
    </row>
    <row r="292" spans="3:10" x14ac:dyDescent="0.2">
      <c r="C292" s="1" t="s">
        <v>4</v>
      </c>
      <c r="D292" s="1">
        <v>88.5416666666666</v>
      </c>
      <c r="E292" s="1">
        <v>83.3333333333333</v>
      </c>
      <c r="F292" s="1">
        <v>54.1666666666666</v>
      </c>
      <c r="G292" s="1">
        <v>48.9583333333333</v>
      </c>
      <c r="H292" s="1"/>
      <c r="I292" s="1"/>
      <c r="J292" s="1"/>
    </row>
    <row r="293" spans="3:10" x14ac:dyDescent="0.2">
      <c r="C293" s="1" t="s">
        <v>5</v>
      </c>
      <c r="D293" s="1">
        <v>89.5833333333333</v>
      </c>
      <c r="E293" s="1">
        <v>86.4583333333333</v>
      </c>
      <c r="F293" s="1">
        <v>58.3333333333333</v>
      </c>
      <c r="G293" s="1">
        <v>48.9583333333333</v>
      </c>
      <c r="H293" s="1">
        <v>62.5</v>
      </c>
      <c r="I293" s="1"/>
      <c r="J293" s="1"/>
    </row>
    <row r="294" spans="3:10" x14ac:dyDescent="0.2">
      <c r="C294" s="1" t="s">
        <v>6</v>
      </c>
      <c r="D294" s="1">
        <v>91.6666666666666</v>
      </c>
      <c r="E294" s="1">
        <v>84.375</v>
      </c>
      <c r="F294" s="1">
        <v>64.5833333333333</v>
      </c>
      <c r="G294" s="1">
        <v>50</v>
      </c>
      <c r="H294" s="1">
        <v>64.5833333333333</v>
      </c>
      <c r="I294" s="1">
        <v>79.1666666666666</v>
      </c>
      <c r="J294" s="1"/>
    </row>
    <row r="295" spans="3:10" x14ac:dyDescent="0.2">
      <c r="C295" s="1" t="s">
        <v>7</v>
      </c>
      <c r="D295" s="1">
        <v>90.625</v>
      </c>
      <c r="E295" s="1">
        <v>82.2916666666666</v>
      </c>
      <c r="F295" s="1">
        <v>62.5</v>
      </c>
      <c r="G295" s="1">
        <v>44.7916666666666</v>
      </c>
      <c r="H295" s="1">
        <v>57.2916666666666</v>
      </c>
      <c r="I295" s="1">
        <v>70.8333333333333</v>
      </c>
      <c r="J295" s="1">
        <v>43.75</v>
      </c>
    </row>
    <row r="297" spans="3:10" x14ac:dyDescent="0.2">
      <c r="C297" t="s">
        <v>8</v>
      </c>
      <c r="D297">
        <f>AVERAGE(D295:J295)</f>
        <v>64.5833333333333</v>
      </c>
      <c r="F297" s="6" t="s">
        <v>33</v>
      </c>
      <c r="G297" s="13"/>
      <c r="H297" s="13"/>
      <c r="I297" s="13"/>
    </row>
    <row r="298" spans="3:10" x14ac:dyDescent="0.2">
      <c r="C298" t="s">
        <v>9</v>
      </c>
      <c r="D298">
        <f>(SUM((D295-D289)+(E295-E290)+(F295-F291)+(G295-G292)+(H295-H293)+(I295-I294)))/6</f>
        <v>-2.7777777777777835</v>
      </c>
      <c r="F298" s="13"/>
      <c r="G298" s="13"/>
      <c r="H298" s="13"/>
      <c r="I298" s="13"/>
    </row>
    <row r="299" spans="3:10" x14ac:dyDescent="0.2">
      <c r="C299" t="s">
        <v>10</v>
      </c>
      <c r="D299">
        <f>SUM((MAX(D289:D295)-D295)+(MAX(E290:E295)-E295)+(MAX(F291:F295)-F295)+(MAX(G292:G295)-G295)+(MAX(H293:H295)-H295)+(MAX(I294:I295)-I295))/6</f>
        <v>5.208333333333333</v>
      </c>
      <c r="F299" s="13"/>
      <c r="G299" s="13"/>
      <c r="H299" s="13"/>
      <c r="I299" s="13"/>
    </row>
    <row r="302" spans="3:10" ht="15" thickBot="1" x14ac:dyDescent="0.25"/>
    <row r="303" spans="3:10" ht="15" thickBot="1" x14ac:dyDescent="0.25">
      <c r="C303" s="3" t="s">
        <v>29</v>
      </c>
      <c r="D303" s="4"/>
      <c r="E303" s="4"/>
      <c r="F303" s="4"/>
      <c r="G303" s="4"/>
      <c r="H303" s="4"/>
      <c r="I303" s="4"/>
      <c r="J303" s="5"/>
    </row>
    <row r="304" spans="3:10" x14ac:dyDescent="0.2">
      <c r="C304" s="2" t="s">
        <v>0</v>
      </c>
      <c r="D304" s="2" t="s">
        <v>1</v>
      </c>
      <c r="E304" s="2" t="s">
        <v>2</v>
      </c>
      <c r="F304" s="2" t="s">
        <v>3</v>
      </c>
      <c r="G304" s="2" t="s">
        <v>4</v>
      </c>
      <c r="H304" s="2" t="s">
        <v>5</v>
      </c>
      <c r="I304" s="2" t="s">
        <v>6</v>
      </c>
      <c r="J304" s="2" t="s">
        <v>7</v>
      </c>
    </row>
    <row r="305" spans="3:10" x14ac:dyDescent="0.2">
      <c r="C305" s="1" t="s">
        <v>1</v>
      </c>
      <c r="D305" s="1">
        <v>88.5416666666666</v>
      </c>
      <c r="E305" s="1"/>
      <c r="F305" s="1"/>
      <c r="G305" s="1"/>
      <c r="H305" s="1"/>
      <c r="I305" s="1"/>
      <c r="J305" s="1"/>
    </row>
    <row r="306" spans="3:10" x14ac:dyDescent="0.2">
      <c r="C306" s="1" t="s">
        <v>2</v>
      </c>
      <c r="D306" s="1">
        <v>89.5833333333333</v>
      </c>
      <c r="E306" s="1">
        <v>75</v>
      </c>
      <c r="F306" s="1"/>
      <c r="G306" s="1"/>
      <c r="H306" s="1"/>
      <c r="I306" s="1"/>
      <c r="J306" s="1"/>
    </row>
    <row r="307" spans="3:10" x14ac:dyDescent="0.2">
      <c r="C307" s="1" t="s">
        <v>3</v>
      </c>
      <c r="D307" s="1">
        <v>89.5833333333333</v>
      </c>
      <c r="E307" s="1">
        <v>75</v>
      </c>
      <c r="F307" s="1">
        <v>90.625</v>
      </c>
      <c r="G307" s="1"/>
      <c r="H307" s="1"/>
      <c r="I307" s="1"/>
      <c r="J307" s="1"/>
    </row>
    <row r="308" spans="3:10" x14ac:dyDescent="0.2">
      <c r="C308" s="1" t="s">
        <v>4</v>
      </c>
      <c r="D308" s="1">
        <v>89.5833333333333</v>
      </c>
      <c r="E308" s="1">
        <v>79.1666666666666</v>
      </c>
      <c r="F308" s="1">
        <v>90.625</v>
      </c>
      <c r="G308" s="1">
        <v>48.9583333333333</v>
      </c>
      <c r="H308" s="1"/>
      <c r="I308" s="1"/>
      <c r="J308" s="1"/>
    </row>
    <row r="309" spans="3:10" x14ac:dyDescent="0.2">
      <c r="C309" s="1" t="s">
        <v>5</v>
      </c>
      <c r="D309" s="1">
        <v>89.5833333333333</v>
      </c>
      <c r="E309" s="1">
        <v>80.2083333333333</v>
      </c>
      <c r="F309" s="1">
        <v>86.4583333333333</v>
      </c>
      <c r="G309" s="1">
        <v>52.0833333333333</v>
      </c>
      <c r="H309" s="1">
        <v>87.5</v>
      </c>
      <c r="I309" s="1"/>
      <c r="J309" s="1"/>
    </row>
    <row r="310" spans="3:10" x14ac:dyDescent="0.2">
      <c r="C310" s="1" t="s">
        <v>6</v>
      </c>
      <c r="D310" s="1">
        <v>89.5833333333333</v>
      </c>
      <c r="E310" s="1">
        <v>78.125</v>
      </c>
      <c r="F310" s="1">
        <v>83.3333333333333</v>
      </c>
      <c r="G310" s="1">
        <v>48.9583333333333</v>
      </c>
      <c r="H310" s="1">
        <v>85.4166666666666</v>
      </c>
      <c r="I310" s="1">
        <v>77.0833333333333</v>
      </c>
      <c r="J310" s="1"/>
    </row>
    <row r="311" spans="3:10" x14ac:dyDescent="0.2">
      <c r="C311" s="1" t="s">
        <v>7</v>
      </c>
      <c r="D311" s="1">
        <v>89.5833333333333</v>
      </c>
      <c r="E311" s="1">
        <v>77.0833333333333</v>
      </c>
      <c r="F311" s="1">
        <v>94.7916666666666</v>
      </c>
      <c r="G311" s="1">
        <v>44.7916666666666</v>
      </c>
      <c r="H311" s="1">
        <v>90.625</v>
      </c>
      <c r="I311" s="1">
        <v>72.9166666666666</v>
      </c>
      <c r="J311" s="1" t="s">
        <v>34</v>
      </c>
    </row>
    <row r="313" spans="3:10" x14ac:dyDescent="0.2">
      <c r="C313" t="s">
        <v>8</v>
      </c>
      <c r="D313">
        <f>AVERAGE(D311:J311)</f>
        <v>78.298611111111072</v>
      </c>
      <c r="F313" s="6" t="s">
        <v>33</v>
      </c>
      <c r="G313" s="13"/>
      <c r="H313" s="13"/>
      <c r="I313" s="13"/>
    </row>
    <row r="314" spans="3:10" x14ac:dyDescent="0.2">
      <c r="C314" t="s">
        <v>9</v>
      </c>
      <c r="D314">
        <f>(SUM((D311-D305)+(E311-E306)+(F311-F307)+(G311-G308)+(H311-H309)+(I311-I310)))/6</f>
        <v>0.34722222222220012</v>
      </c>
      <c r="F314" s="13"/>
      <c r="G314" s="13"/>
      <c r="H314" s="13"/>
      <c r="I314" s="13"/>
    </row>
    <row r="315" spans="3:10" x14ac:dyDescent="0.2">
      <c r="C315" t="s">
        <v>10</v>
      </c>
      <c r="D315">
        <f>SUM((MAX(D305:D311)-D311)+(MAX(E306:E311)-E311)+(MAX(F307:F311)-F311)+(MAX(G308:G311)-G311)+(MAX(H309:H311)-H311)+(MAX(I310:I311)-I311))/6</f>
        <v>2.4305555555555665</v>
      </c>
      <c r="F315" s="13"/>
      <c r="G315" s="13"/>
      <c r="H315" s="13"/>
      <c r="I315" s="13"/>
    </row>
    <row r="318" spans="3:10" ht="15" thickBot="1" x14ac:dyDescent="0.25"/>
    <row r="319" spans="3:10" ht="15" thickBot="1" x14ac:dyDescent="0.25">
      <c r="C319" s="3" t="s">
        <v>30</v>
      </c>
      <c r="D319" s="4"/>
      <c r="E319" s="4"/>
      <c r="F319" s="4"/>
      <c r="G319" s="4"/>
      <c r="H319" s="4"/>
      <c r="I319" s="4"/>
      <c r="J319" s="5"/>
    </row>
    <row r="320" spans="3:10" x14ac:dyDescent="0.2">
      <c r="C320" s="2" t="s">
        <v>0</v>
      </c>
      <c r="D320" s="2" t="s">
        <v>1</v>
      </c>
      <c r="E320" s="2" t="s">
        <v>2</v>
      </c>
      <c r="F320" s="2" t="s">
        <v>3</v>
      </c>
      <c r="G320" s="2" t="s">
        <v>4</v>
      </c>
      <c r="H320" s="2" t="s">
        <v>5</v>
      </c>
      <c r="I320" s="2" t="s">
        <v>6</v>
      </c>
      <c r="J320" s="2" t="s">
        <v>7</v>
      </c>
    </row>
    <row r="321" spans="3:10" x14ac:dyDescent="0.2">
      <c r="C321" s="1" t="s">
        <v>1</v>
      </c>
      <c r="D321" s="1">
        <v>91.6666666666666</v>
      </c>
      <c r="E321" s="1"/>
      <c r="F321" s="1"/>
      <c r="G321" s="1"/>
      <c r="H321" s="1"/>
      <c r="I321" s="1"/>
      <c r="J321" s="1"/>
    </row>
    <row r="322" spans="3:10" x14ac:dyDescent="0.2">
      <c r="C322" s="1" t="s">
        <v>2</v>
      </c>
      <c r="D322" s="1">
        <v>91.6666666666666</v>
      </c>
      <c r="E322" s="1">
        <v>84.375</v>
      </c>
      <c r="F322" s="1"/>
      <c r="G322" s="1"/>
      <c r="H322" s="1"/>
      <c r="I322" s="1"/>
      <c r="J322" s="1"/>
    </row>
    <row r="323" spans="3:10" x14ac:dyDescent="0.2">
      <c r="C323" s="1" t="s">
        <v>3</v>
      </c>
      <c r="D323" s="1">
        <v>93.75</v>
      </c>
      <c r="E323" s="1">
        <v>86.4583333333333</v>
      </c>
      <c r="F323" s="1">
        <v>91.6666666666666</v>
      </c>
      <c r="G323" s="1"/>
      <c r="H323" s="1"/>
      <c r="I323" s="1"/>
      <c r="J323" s="1"/>
    </row>
    <row r="324" spans="3:10" x14ac:dyDescent="0.2">
      <c r="C324" s="1" t="s">
        <v>4</v>
      </c>
      <c r="D324" s="1">
        <v>91.6666666666666</v>
      </c>
      <c r="E324" s="1">
        <v>85.4166666666666</v>
      </c>
      <c r="F324" s="1">
        <v>90.625</v>
      </c>
      <c r="G324" s="1">
        <v>50</v>
      </c>
      <c r="H324" s="1"/>
      <c r="I324" s="1"/>
      <c r="J324" s="1"/>
    </row>
    <row r="325" spans="3:10" x14ac:dyDescent="0.2">
      <c r="C325" s="1" t="s">
        <v>5</v>
      </c>
      <c r="D325" s="1">
        <v>92.7083333333333</v>
      </c>
      <c r="E325" s="1">
        <v>86.4583333333333</v>
      </c>
      <c r="F325" s="1">
        <v>86.4583333333333</v>
      </c>
      <c r="G325" s="1">
        <v>51.0416666666666</v>
      </c>
      <c r="H325" s="1">
        <v>83.3333333333333</v>
      </c>
      <c r="I325" s="1"/>
      <c r="J325" s="1"/>
    </row>
    <row r="326" spans="3:10" x14ac:dyDescent="0.2">
      <c r="C326" s="1" t="s">
        <v>6</v>
      </c>
      <c r="D326" s="1">
        <v>93.75</v>
      </c>
      <c r="E326" s="1">
        <v>84.375</v>
      </c>
      <c r="F326" s="1">
        <v>89.5833333333333</v>
      </c>
      <c r="G326" s="1">
        <v>50</v>
      </c>
      <c r="H326" s="1">
        <v>83.3333333333333</v>
      </c>
      <c r="I326" s="1">
        <v>80.2083333333333</v>
      </c>
      <c r="J326" s="1"/>
    </row>
    <row r="327" spans="3:10" x14ac:dyDescent="0.2">
      <c r="C327" s="1" t="s">
        <v>7</v>
      </c>
      <c r="D327" s="1">
        <v>92.7083333333333</v>
      </c>
      <c r="E327" s="1">
        <v>81.25</v>
      </c>
      <c r="F327" s="1">
        <v>88.5416666666666</v>
      </c>
      <c r="G327" s="1">
        <v>47.9166666666666</v>
      </c>
      <c r="H327" s="1">
        <v>85.4166666666666</v>
      </c>
      <c r="I327" s="1">
        <v>77.0833333333333</v>
      </c>
      <c r="J327" s="1">
        <v>42.7083333333333</v>
      </c>
    </row>
    <row r="329" spans="3:10" x14ac:dyDescent="0.2">
      <c r="C329" t="s">
        <v>8</v>
      </c>
      <c r="D329">
        <f>AVERAGE(D327:J327)</f>
        <v>73.660714285714249</v>
      </c>
      <c r="F329" s="6" t="s">
        <v>35</v>
      </c>
      <c r="G329" s="13"/>
      <c r="H329" s="13"/>
      <c r="I329" s="13"/>
    </row>
    <row r="330" spans="3:10" x14ac:dyDescent="0.2">
      <c r="C330" t="s">
        <v>9</v>
      </c>
      <c r="D330">
        <f>(SUM((D327-D321)+(E327-E322)+(F327-F323)+(G327-G324)+(H327-H325)+(I327-I326)))/6</f>
        <v>-1.3888888888888999</v>
      </c>
      <c r="F330" s="13"/>
      <c r="G330" s="13"/>
      <c r="H330" s="13"/>
      <c r="I330" s="13"/>
    </row>
    <row r="331" spans="3:10" x14ac:dyDescent="0.2">
      <c r="C331" t="s">
        <v>10</v>
      </c>
      <c r="D331">
        <f>SUM((MAX(D321:D327)-D327)+(MAX(E322:E327)-E327)+(MAX(F323:F327)-F327)+(MAX(G324:G327)-G327)+(MAX(H325:H327)-H327)+(MAX(I326:I327)-I327))/6</f>
        <v>2.6041666666666665</v>
      </c>
      <c r="F331" s="13"/>
      <c r="G331" s="13"/>
      <c r="H331" s="13"/>
      <c r="I331" s="13"/>
    </row>
    <row r="333" spans="3:10" ht="15" thickBot="1" x14ac:dyDescent="0.25"/>
    <row r="334" spans="3:10" ht="15" thickBot="1" x14ac:dyDescent="0.25">
      <c r="C334" s="3" t="s">
        <v>31</v>
      </c>
      <c r="D334" s="4"/>
      <c r="E334" s="4"/>
      <c r="F334" s="4"/>
      <c r="G334" s="4"/>
      <c r="H334" s="4"/>
      <c r="I334" s="4"/>
      <c r="J334" s="5"/>
    </row>
    <row r="335" spans="3:10" x14ac:dyDescent="0.2">
      <c r="C335" s="2" t="s">
        <v>0</v>
      </c>
      <c r="D335" s="2" t="s">
        <v>1</v>
      </c>
      <c r="E335" s="2" t="s">
        <v>2</v>
      </c>
      <c r="F335" s="2" t="s">
        <v>3</v>
      </c>
      <c r="G335" s="2" t="s">
        <v>4</v>
      </c>
      <c r="H335" s="2" t="s">
        <v>5</v>
      </c>
      <c r="I335" s="2" t="s">
        <v>6</v>
      </c>
      <c r="J335" s="2" t="s">
        <v>7</v>
      </c>
    </row>
    <row r="336" spans="3:10" x14ac:dyDescent="0.2">
      <c r="C336" s="1" t="s">
        <v>1</v>
      </c>
      <c r="D336" s="1">
        <v>92.7083333333333</v>
      </c>
      <c r="E336" s="1"/>
      <c r="F336" s="1"/>
      <c r="G336" s="1"/>
      <c r="H336" s="1"/>
      <c r="I336" s="1"/>
      <c r="J336" s="1"/>
    </row>
    <row r="337" spans="3:10" x14ac:dyDescent="0.2">
      <c r="C337" s="1" t="s">
        <v>2</v>
      </c>
      <c r="D337" s="1">
        <v>91.6666666666666</v>
      </c>
      <c r="E337" s="1">
        <v>76.0416666666666</v>
      </c>
      <c r="F337" s="1"/>
      <c r="G337" s="1"/>
      <c r="H337" s="1"/>
      <c r="I337" s="1"/>
      <c r="J337" s="1"/>
    </row>
    <row r="338" spans="3:10" x14ac:dyDescent="0.2">
      <c r="C338" s="1" t="s">
        <v>3</v>
      </c>
      <c r="D338" s="1">
        <v>91.6666666666666</v>
      </c>
      <c r="E338" s="1">
        <v>77.0833333333333</v>
      </c>
      <c r="F338" s="1">
        <v>93.75</v>
      </c>
      <c r="G338" s="1"/>
      <c r="H338" s="1"/>
      <c r="I338" s="1"/>
      <c r="J338" s="1"/>
    </row>
    <row r="339" spans="3:10" x14ac:dyDescent="0.2">
      <c r="C339" s="1" t="s">
        <v>4</v>
      </c>
      <c r="D339" s="1">
        <v>90.625</v>
      </c>
      <c r="E339" s="1">
        <v>78.125</v>
      </c>
      <c r="F339" s="1">
        <v>92.7083333333333</v>
      </c>
      <c r="G339" s="1">
        <v>48.9583333333333</v>
      </c>
      <c r="H339" s="1"/>
      <c r="I339" s="1"/>
      <c r="J339" s="1"/>
    </row>
    <row r="340" spans="3:10" x14ac:dyDescent="0.2">
      <c r="C340" s="1" t="s">
        <v>5</v>
      </c>
      <c r="D340" s="1">
        <v>91.6666666666666</v>
      </c>
      <c r="E340" s="1">
        <v>81.25</v>
      </c>
      <c r="F340" s="1">
        <v>93.75</v>
      </c>
      <c r="G340" s="1">
        <v>47.9166666666666</v>
      </c>
      <c r="H340" s="1">
        <v>65.625</v>
      </c>
      <c r="I340" s="1"/>
      <c r="J340" s="1"/>
    </row>
    <row r="341" spans="3:10" x14ac:dyDescent="0.2">
      <c r="C341" s="1" t="s">
        <v>6</v>
      </c>
      <c r="D341" s="1">
        <v>91.6666666666666</v>
      </c>
      <c r="E341" s="1">
        <v>81.25</v>
      </c>
      <c r="F341" s="1">
        <v>93.75</v>
      </c>
      <c r="G341" s="1">
        <v>46.875</v>
      </c>
      <c r="H341" s="1">
        <v>65.625</v>
      </c>
      <c r="I341" s="1">
        <v>77.0833333333333</v>
      </c>
      <c r="J341" s="1"/>
    </row>
    <row r="342" spans="3:10" x14ac:dyDescent="0.2">
      <c r="C342" s="1" t="s">
        <v>7</v>
      </c>
      <c r="D342" s="1">
        <v>90.625</v>
      </c>
      <c r="E342" s="1">
        <v>81.25</v>
      </c>
      <c r="F342" s="1">
        <v>95.8333333333333</v>
      </c>
      <c r="G342" s="1">
        <v>42.7083333333333</v>
      </c>
      <c r="H342" s="1">
        <v>67.7083333333333</v>
      </c>
      <c r="I342" s="1">
        <v>69.7916666666666</v>
      </c>
      <c r="J342" s="1">
        <v>53.125</v>
      </c>
    </row>
    <row r="344" spans="3:10" x14ac:dyDescent="0.2">
      <c r="C344" t="s">
        <v>8</v>
      </c>
      <c r="D344">
        <f>AVERAGE(D342:J342)</f>
        <v>71.577380952380935</v>
      </c>
      <c r="F344" s="6" t="s">
        <v>36</v>
      </c>
      <c r="G344" s="13"/>
      <c r="H344" s="13"/>
      <c r="I344" s="13"/>
    </row>
    <row r="345" spans="3:10" x14ac:dyDescent="0.2">
      <c r="C345" t="s">
        <v>9</v>
      </c>
      <c r="D345">
        <f>(SUM((D342-D336)+(E342-E337)+(F342-F338)+(G342-G339)+(H342-H340)+(I342-I341)))/6</f>
        <v>-1.0416666666666667</v>
      </c>
      <c r="F345" s="13"/>
      <c r="G345" s="13"/>
      <c r="H345" s="13"/>
      <c r="I345" s="13"/>
    </row>
    <row r="346" spans="3:10" x14ac:dyDescent="0.2">
      <c r="C346" t="s">
        <v>10</v>
      </c>
      <c r="D346">
        <f>SUM((MAX(D336:D342)-D342)+(MAX(E337:E342)-E342)+(MAX(F338:F342)-F342)+(MAX(G339:G342)-G342)+(MAX(H340:H342)-H342)+(MAX(I341:I342)-I342))/6</f>
        <v>2.6041666666666665</v>
      </c>
      <c r="F346" s="13"/>
      <c r="G346" s="13"/>
      <c r="H346" s="13"/>
      <c r="I346" s="13"/>
    </row>
    <row r="349" spans="3:10" ht="15" thickBot="1" x14ac:dyDescent="0.25"/>
    <row r="350" spans="3:10" ht="15" thickBot="1" x14ac:dyDescent="0.25">
      <c r="C350" s="3" t="s">
        <v>32</v>
      </c>
      <c r="D350" s="4"/>
      <c r="E350" s="4"/>
      <c r="F350" s="4"/>
      <c r="G350" s="4"/>
      <c r="H350" s="4"/>
      <c r="I350" s="4"/>
      <c r="J350" s="5"/>
    </row>
    <row r="351" spans="3:10" x14ac:dyDescent="0.2">
      <c r="C351" s="2" t="s">
        <v>0</v>
      </c>
      <c r="D351" s="2" t="s">
        <v>1</v>
      </c>
      <c r="E351" s="2" t="s">
        <v>2</v>
      </c>
      <c r="F351" s="2" t="s">
        <v>3</v>
      </c>
      <c r="G351" s="2" t="s">
        <v>4</v>
      </c>
      <c r="H351" s="2" t="s">
        <v>5</v>
      </c>
      <c r="I351" s="2" t="s">
        <v>6</v>
      </c>
      <c r="J351" s="2" t="s">
        <v>7</v>
      </c>
    </row>
    <row r="352" spans="3:10" x14ac:dyDescent="0.2">
      <c r="C352" s="1" t="s">
        <v>1</v>
      </c>
      <c r="D352" s="1">
        <v>93.75</v>
      </c>
      <c r="E352" s="1"/>
      <c r="F352" s="1"/>
      <c r="G352" s="1"/>
      <c r="H352" s="1"/>
      <c r="I352" s="1"/>
      <c r="J352" s="1"/>
    </row>
    <row r="353" spans="3:10" x14ac:dyDescent="0.2">
      <c r="C353" s="1" t="s">
        <v>2</v>
      </c>
      <c r="D353" s="1">
        <v>93.75</v>
      </c>
      <c r="E353" s="1">
        <v>83.3333333333333</v>
      </c>
      <c r="I353" s="1"/>
      <c r="J353" s="1"/>
    </row>
    <row r="354" spans="3:10" x14ac:dyDescent="0.2">
      <c r="C354" s="1" t="s">
        <v>3</v>
      </c>
      <c r="D354" s="1">
        <v>94.7916666666666</v>
      </c>
      <c r="E354" s="1">
        <v>78.125</v>
      </c>
      <c r="F354" s="1">
        <v>97.9166666666666</v>
      </c>
      <c r="H354" s="1"/>
      <c r="I354" s="1"/>
      <c r="J354" s="1"/>
    </row>
    <row r="355" spans="3:10" x14ac:dyDescent="0.2">
      <c r="C355" s="1" t="s">
        <v>4</v>
      </c>
      <c r="D355" s="1">
        <v>92.7083333333333</v>
      </c>
      <c r="E355" s="1">
        <v>80.2083333333333</v>
      </c>
      <c r="F355" s="1">
        <v>96.875</v>
      </c>
      <c r="G355" s="1">
        <v>47.9166666666666</v>
      </c>
      <c r="H355" s="1"/>
      <c r="I355" s="1"/>
      <c r="J355" s="1"/>
    </row>
    <row r="356" spans="3:10" x14ac:dyDescent="0.2">
      <c r="C356" s="1" t="s">
        <v>5</v>
      </c>
      <c r="D356" s="1">
        <v>93.75</v>
      </c>
      <c r="E356" s="1">
        <v>83.3333333333333</v>
      </c>
      <c r="F356" s="1">
        <v>97.9166666666666</v>
      </c>
      <c r="G356" s="1">
        <v>46.875</v>
      </c>
      <c r="H356" s="1">
        <v>51.0416666666666</v>
      </c>
      <c r="I356" s="1"/>
      <c r="J356" s="1"/>
    </row>
    <row r="357" spans="3:10" x14ac:dyDescent="0.2">
      <c r="C357" s="1" t="s">
        <v>6</v>
      </c>
      <c r="D357" s="1">
        <v>93.75</v>
      </c>
      <c r="E357" s="1">
        <v>81.25</v>
      </c>
      <c r="F357" s="1">
        <v>97.9166666666666</v>
      </c>
      <c r="G357" s="1">
        <v>46.875</v>
      </c>
      <c r="H357" s="1">
        <v>50</v>
      </c>
      <c r="I357" s="1">
        <v>75</v>
      </c>
      <c r="J357" s="1"/>
    </row>
    <row r="358" spans="3:10" x14ac:dyDescent="0.2">
      <c r="C358" s="1" t="s">
        <v>7</v>
      </c>
      <c r="D358" s="1">
        <v>92.7083333333333</v>
      </c>
      <c r="E358" s="1">
        <v>76.0416666666666</v>
      </c>
      <c r="F358" s="1">
        <v>97.9166666666666</v>
      </c>
      <c r="G358" s="1">
        <v>35.4166666666666</v>
      </c>
      <c r="H358" s="1">
        <v>61.4583333333333</v>
      </c>
      <c r="I358" s="1">
        <v>64.5833333333333</v>
      </c>
      <c r="J358" s="1">
        <v>42.7083333333333</v>
      </c>
    </row>
    <row r="360" spans="3:10" x14ac:dyDescent="0.2">
      <c r="C360" t="s">
        <v>8</v>
      </c>
      <c r="D360">
        <f>AVERAGE(D358:J358)</f>
        <v>67.261904761904731</v>
      </c>
      <c r="F360" s="6" t="s">
        <v>36</v>
      </c>
      <c r="G360" s="13"/>
      <c r="H360" s="13"/>
      <c r="I360" s="13"/>
    </row>
    <row r="361" spans="3:10" x14ac:dyDescent="0.2">
      <c r="C361" t="s">
        <v>9</v>
      </c>
      <c r="D361">
        <f>(SUM((D358-D352)+(E358-E353)+(F358-F354)+(G358-G355)+(H358-H356)+(I358-I357)))/6</f>
        <v>-3.4722222222222334</v>
      </c>
      <c r="F361" s="13"/>
      <c r="G361" s="13"/>
      <c r="H361" s="13"/>
      <c r="I361" s="13"/>
    </row>
    <row r="362" spans="3:10" x14ac:dyDescent="0.2">
      <c r="C362" t="s">
        <v>10</v>
      </c>
      <c r="D362">
        <f>SUM((MAX(D352:D358)-D358)+(MAX(E353:E358)-E358)+(MAX(F355:F358)-F358)+(MAX(G355:G358)-G358)+(MAX(H356:H358)-H358)+(MAX(I357:I358)-I358))/6</f>
        <v>5.38194444444445</v>
      </c>
      <c r="F362" s="13"/>
      <c r="G362" s="13"/>
      <c r="H362" s="13"/>
      <c r="I362" s="13"/>
    </row>
  </sheetData>
  <mergeCells count="37">
    <mergeCell ref="Z252:AD255"/>
    <mergeCell ref="C268:J268"/>
    <mergeCell ref="C287:J287"/>
    <mergeCell ref="P219:T222"/>
    <mergeCell ref="F360:I362"/>
    <mergeCell ref="P252:T255"/>
    <mergeCell ref="F344:I346"/>
    <mergeCell ref="C303:J303"/>
    <mergeCell ref="C319:J319"/>
    <mergeCell ref="C334:J334"/>
    <mergeCell ref="C350:J350"/>
    <mergeCell ref="F278:I280"/>
    <mergeCell ref="F297:I299"/>
    <mergeCell ref="F313:I315"/>
    <mergeCell ref="F329:I331"/>
    <mergeCell ref="C4:J4"/>
    <mergeCell ref="C23:J23"/>
    <mergeCell ref="C39:J39"/>
    <mergeCell ref="C55:J55"/>
    <mergeCell ref="C70:J70"/>
    <mergeCell ref="C86:J86"/>
    <mergeCell ref="C107:J107"/>
    <mergeCell ref="C123:J123"/>
    <mergeCell ref="C139:J139"/>
    <mergeCell ref="C154:J154"/>
    <mergeCell ref="C169:J169"/>
    <mergeCell ref="C203:J204"/>
    <mergeCell ref="C209:J209"/>
    <mergeCell ref="C226:J226"/>
    <mergeCell ref="C242:J242"/>
    <mergeCell ref="C184:J184"/>
    <mergeCell ref="M209:T209"/>
    <mergeCell ref="M226:T226"/>
    <mergeCell ref="M242:T242"/>
    <mergeCell ref="W209:AD209"/>
    <mergeCell ref="Z219:AD222"/>
    <mergeCell ref="W242:AD242"/>
  </mergeCells>
  <phoneticPr fontId="1" type="noConversion"/>
  <pageMargins left="0.7" right="0.7" top="0.75" bottom="0.75" header="0.3" footer="0.3"/>
  <pageSetup paperSize="9" orientation="portrait" horizontalDpi="360" verticalDpi="36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Clover Guan</dc:creator>
  <cp:lastModifiedBy>Shiqing Guan</cp:lastModifiedBy>
  <dcterms:created xsi:type="dcterms:W3CDTF">2015-06-05T18:19:34Z</dcterms:created>
  <dcterms:modified xsi:type="dcterms:W3CDTF">2026-10-23T11:14:49Z</dcterms:modified>
</cp:coreProperties>
</file>